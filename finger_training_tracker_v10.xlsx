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" sheetId="1" state="visible" r:id="rId3"/>
    <sheet name="Working Loads" sheetId="2" state="visible" r:id="rId4"/>
    <sheet name="Analytics" sheetId="3" state="visible" r:id="rId5"/>
    <sheet name="Log" sheetId="4" state="visible" r:id="rId6"/>
    <sheet name="Weekly Plan" sheetId="5" state="visible" r:id="rId7"/>
    <sheet name="Progression" sheetId="6" state="visible" r:id="rId8"/>
    <sheet name="Reference" sheetId="7" state="visible" r:id="rId9"/>
    <sheet name="_Data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======
ID#AAAB8ooew80
Unknown Author    (2026-06-01 18:18:13)
1 is alot left, 5 is nothing left</t>
        </r>
      </text>
    </comment>
    <comment ref="J4" authorId="0">
      <text>
        <r>
          <rPr>
            <sz val="10"/>
            <rFont val="Arial"/>
            <family val="2"/>
          </rPr>
          <t xml:space="preserve">======
ID#AAAB8ooew84
Unknown Author    (2026-06-01 18:18:13)
1-5, 5 is mega sore</t>
        </r>
      </text>
    </comment>
  </commentList>
</comments>
</file>

<file path=xl/sharedStrings.xml><?xml version="1.0" encoding="utf-8"?>
<sst xmlns="http://schemas.openxmlformats.org/spreadsheetml/2006/main" count="1264" uniqueCount="553">
  <si>
    <t xml:space="preserve">16-Week Autoregulated Hangboard Program — Transmutation Entry</t>
  </si>
  <si>
    <t xml:space="preserve">Skips accumulation — goes straight to Transmutation I given established hangboard base. Three transmutation blocks with rising intensity, separated by deload + benchmark weeks.</t>
  </si>
  <si>
    <t xml:space="preserve">Cycle Parameters</t>
  </si>
  <si>
    <t xml:space="preserve">Start date</t>
  </si>
  <si>
    <t xml:space="preserve">Mon May 11, 2026</t>
  </si>
  <si>
    <t xml:space="preserve">End date</t>
  </si>
  <si>
    <t xml:space="preserve">Sun Aug 30, 2026 (~16 weeks)</t>
  </si>
  <si>
    <t xml:space="preserve">Starting benchmark</t>
  </si>
  <si>
    <t xml:space="preserve">+25 kg on 20mm half crimp, 5s, 2-arm</t>
  </si>
  <si>
    <t xml:space="preserve">Nutrition</t>
  </si>
  <si>
    <t xml:space="preserve">Maintenance (cut complete)</t>
  </si>
  <si>
    <t xml:space="preserve">Weekly structure</t>
  </si>
  <si>
    <t xml:space="preserve">From W4: Tue OI primer + limit board, Thu volume yielding (5s), Sat heavy yielding = 3 finger sessions/week. Heavy = 5s in Trans I–II; 3s max singles in Peak (W11–14). (W1–W3 ran Tue heavy + Thu volume + Sat/Sun OI.)</t>
  </si>
  <si>
    <t xml:space="preserve">Deload cadence</t>
  </si>
  <si>
    <t xml:space="preserve">Every 5 weeks: W5, W10, W15 (each with benchmark test)</t>
  </si>
  <si>
    <t xml:space="preserve">Benchmark tests</t>
  </si>
  <si>
    <t xml:space="preserve">W5 (post-Trans I), W10 (post-Trans II), W15 (post-Peak), W16 (final, in Realization)</t>
  </si>
  <si>
    <t xml:space="preserve">Target end-of-cycle</t>
  </si>
  <si>
    <t xml:space="preserve">+33–40 kg (conservative ↔ optimistic). 8A path: ~+45–50 kg.</t>
  </si>
  <si>
    <t xml:space="preserve">Macro Schedule</t>
  </si>
  <si>
    <t xml:space="preserve">Wk</t>
  </si>
  <si>
    <t xml:space="preserve">Dates</t>
  </si>
  <si>
    <t xml:space="preserve">Block</t>
  </si>
  <si>
    <t xml:space="preserve">Heavy yielding (Sat, W4+)</t>
  </si>
  <si>
    <t xml:space="preserve">Thursday — Volume</t>
  </si>
  <si>
    <t xml:space="preserve">OI (Tue primer, W4+)</t>
  </si>
  <si>
    <t xml:space="preserve">W1</t>
  </si>
  <si>
    <t xml:space="preserve">May 11 – May 17</t>
  </si>
  <si>
    <t xml:space="preserve">Transmutation I 1/4</t>
  </si>
  <si>
    <t xml:space="preserve">Top @8.5 autoreg (target ~+24 kg), 3 BO 92–95% with fatigue stop</t>
  </si>
  <si>
    <t xml:space="preserve">82–85% of Tue, 4–5 sets @7–8</t>
  </si>
  <si>
    <t xml:space="preserve">2× standard</t>
  </si>
  <si>
    <t xml:space="preserve">W2</t>
  </si>
  <si>
    <t xml:space="preserve">May 18 – May 24</t>
  </si>
  <si>
    <t xml:space="preserve">Transmutation I 2/4</t>
  </si>
  <si>
    <t xml:space="preserve">Top @8.5–9 (target ~+25 kg), BO with fatigue stop</t>
  </si>
  <si>
    <t xml:space="preserve">W3</t>
  </si>
  <si>
    <t xml:space="preserve">May 25 – May 31</t>
  </si>
  <si>
    <t xml:space="preserve">Transmutation I 3/4</t>
  </si>
  <si>
    <t xml:space="preserve">Top @9 (target ~+26 kg), BO with fatigue stop</t>
  </si>
  <si>
    <t xml:space="preserve">W4</t>
  </si>
  <si>
    <t xml:space="preserve">Jun 01 – Jun 07</t>
  </si>
  <si>
    <t xml:space="preserve">Transmutation I 4/4</t>
  </si>
  <si>
    <t xml:space="preserve">Top @9 (target +26–27 kg) — last push before deload</t>
  </si>
  <si>
    <t xml:space="preserve">82–85% of heavy, 4–5 sets @7–8</t>
  </si>
  <si>
    <t xml:space="preserve">1× (Tue primer)</t>
  </si>
  <si>
    <t xml:space="preserve">W5</t>
  </si>
  <si>
    <t xml:space="preserve">Jun 08 – Jun 14</t>
  </si>
  <si>
    <t xml:space="preserve">DELOAD + BENCHMARK</t>
  </si>
  <si>
    <t xml:space="preserve">Tue: 3 sets @6 deload. Sat: TEST 1 set max 5s @9–9.5</t>
  </si>
  <si>
    <t xml:space="preserve">Rest</t>
  </si>
  <si>
    <t xml:space="preserve">skip (test wk)</t>
  </si>
  <si>
    <t xml:space="preserve">W6</t>
  </si>
  <si>
    <t xml:space="preserve">Jun 15 – Jun 21</t>
  </si>
  <si>
    <t xml:space="preserve">Transmutation II 1/4</t>
  </si>
  <si>
    <t xml:space="preserve">Top @9–9.5 with NEW benchmark percentages</t>
  </si>
  <si>
    <t xml:space="preserve">85–88% of heavy, 4–5 sets @8</t>
  </si>
  <si>
    <t xml:space="preserve">1× (Tue)</t>
  </si>
  <si>
    <t xml:space="preserve">W7</t>
  </si>
  <si>
    <t xml:space="preserve">Jun 22 – Jun 28</t>
  </si>
  <si>
    <t xml:space="preserve">Transmutation II 2/4</t>
  </si>
  <si>
    <t xml:space="preserve">Top @9–9.5, BO with fatigue stop</t>
  </si>
  <si>
    <t xml:space="preserve">W8</t>
  </si>
  <si>
    <t xml:space="preserve">Jun 29 – Jul 05</t>
  </si>
  <si>
    <t xml:space="preserve">Transmutation II 3/4</t>
  </si>
  <si>
    <t xml:space="preserve">W9</t>
  </si>
  <si>
    <t xml:space="preserve">Jul 06 – Jul 12</t>
  </si>
  <si>
    <t xml:space="preserve">Transmutation II 4/4</t>
  </si>
  <si>
    <t xml:space="preserve">Top @9–9.5 push, final load before deload</t>
  </si>
  <si>
    <t xml:space="preserve">W10</t>
  </si>
  <si>
    <t xml:space="preserve">Jul 13 – Jul 19</t>
  </si>
  <si>
    <t xml:space="preserve">W11</t>
  </si>
  <si>
    <t xml:space="preserve">Jul 20 – Jul 26</t>
  </si>
  <si>
    <t xml:space="preserve">Peak Intensity 1/4</t>
  </si>
  <si>
    <t xml:space="preserve">3s max singles @9.5 — load from W10 3s test. 3–5 efforts, 4–5 min rest. No back-offs.</t>
  </si>
  <si>
    <t xml:space="preserve">88–90% of heavy, 4–5 sets @8</t>
  </si>
  <si>
    <t xml:space="preserve">W12</t>
  </si>
  <si>
    <t xml:space="preserve">Jul 27 – Aug 02</t>
  </si>
  <si>
    <t xml:space="preserve">Peak Intensity 2/4</t>
  </si>
  <si>
    <t xml:space="preserve">3s max singles @9.5 — push new 3s WM. 3–5 efforts, full rest.</t>
  </si>
  <si>
    <t xml:space="preserve">W13</t>
  </si>
  <si>
    <t xml:space="preserve">Aug 03 – Aug 09</t>
  </si>
  <si>
    <t xml:space="preserve">Peak Intensity 3/4</t>
  </si>
  <si>
    <t xml:space="preserve">3s max singles @9.5 — highest absolute load this cycle expected.</t>
  </si>
  <si>
    <t xml:space="preserve">W14</t>
  </si>
  <si>
    <t xml:space="preserve">Aug 10 – Aug 16</t>
  </si>
  <si>
    <t xml:space="preserve">Peak Intensity 4/4</t>
  </si>
  <si>
    <t xml:space="preserve">3s max singles @9.5 — final peak week. Express everything.</t>
  </si>
  <si>
    <t xml:space="preserve">W15</t>
  </si>
  <si>
    <t xml:space="preserve">Aug 17 – Aug 23</t>
  </si>
  <si>
    <t xml:space="preserve">DELOAD + FINAL BENCHMARK</t>
  </si>
  <si>
    <t xml:space="preserve">Tue: 3 sets @6 deload. Sat: TEST max 5s @9–9.5, THEN max 3s @9–9.5. Log both.</t>
  </si>
  <si>
    <t xml:space="preserve">W16</t>
  </si>
  <si>
    <t xml:space="preserve">Aug 24 – Aug 30</t>
  </si>
  <si>
    <t xml:space="preserve">Realization — Cycle Close</t>
  </si>
  <si>
    <t xml:space="preserve">2–3 singles @9 (3s or 5s). Climb hard. Apply on the wall.</t>
  </si>
  <si>
    <t xml:space="preserve">2 sets at 80% bench @7 (optional)</t>
  </si>
  <si>
    <t xml:space="preserve">Key Concepts</t>
  </si>
  <si>
    <t xml:space="preserve">Tuesday top-set autoregulation</t>
  </si>
  <si>
    <t xml:space="preserve">Don't load based on last week's number. Load based on how 92% of last Tue's top set feels as a warmup: @7 → today has +2.5–5 kg in it; @8 → match or +2.5; @8.5+ → hold or back off.</t>
  </si>
  <si>
    <t xml:space="preserve">Fatigue stop (Tue back-offs)</t>
  </si>
  <si>
    <t xml:space="preserve">Stop back-offs when: load drop &gt;5%, can't hit 5s, grip break before second 5, or any joint discomfort.</t>
  </si>
  <si>
    <t xml:space="preserve">Thursday is buffer</t>
  </si>
  <si>
    <t xml:space="preserve">Fixed 4–5 sets. NO opportunistic extensions. RPE creep to @8.5+ by set 3 → drop load 5%.</t>
  </si>
  <si>
    <t xml:space="preserve">Pre-session readiness</t>
  </si>
  <si>
    <t xml:space="preserve">During 70%-benchmark warmup hang, gauge RPE. Normal feels @5–6. @7+ = drop loads 5–10%. @8+ or joint pain = skip session.</t>
  </si>
  <si>
    <t xml:space="preserve">Week 1 is a discovery check</t>
  </si>
  <si>
    <t xml:space="preserve">Since this skips accumulation, Tue/Thu of W1 are the real test of how 48h between yielding sessions feels. If Thu W1 feels significantly worse than expected, that signal counts.</t>
  </si>
  <si>
    <t xml:space="preserve">Block progression gates</t>
  </si>
  <si>
    <t xml:space="preserve">Advance only if: no joint flags, benchmark stable/improving, recovery normal, fatigue stops not triggering early for 2 weeks straight.</t>
  </si>
  <si>
    <t xml:space="preserve">Color Legend</t>
  </si>
  <si>
    <t xml:space="preserve">Deload week with benchmark test</t>
  </si>
  <si>
    <t xml:space="preserve">Realization week — singles, low volume</t>
  </si>
  <si>
    <t xml:space="preserve">Working Loads — Single Source of Truth for Program Percentages</t>
  </si>
  <si>
    <t xml:space="preserve">Change the Working Max cell below and every load target in the program recalculates. Working Max = the load you can hold for 5s at @9–9.5 on a Saturday-fresh heavy day.
PEAK BLOCK (W11–W14): heavy day uses 3s hangs. Establish 3s WM at W10 test and enter in a separate cell below. Thu volume stays 5s throughout.</t>
  </si>
  <si>
    <t xml:space="preserve">Input</t>
  </si>
  <si>
    <t xml:space="preserve">Working Max (kg)</t>
  </si>
  <si>
    <t xml:space="preserve">As of (date)</t>
  </si>
  <si>
    <t xml:space="preserve">2026-05-22</t>
  </si>
  <si>
    <t xml:space="preserve">Notes</t>
  </si>
  <si>
    <t xml:space="preserve">Reset from +25kg given Thu @10 ceiling — recheck on rested day</t>
  </si>
  <si>
    <t xml:space="preserve">When to update: after any benchmark test (W5/W10/W15), or any time daily expression consistently disagrees with the current number for 2+ sessions. Increment in 0.5–2 kg steps.</t>
  </si>
  <si>
    <t xml:space="preserve">Key Reference Loads (% of Working Max)</t>
  </si>
  <si>
    <t xml:space="preserve">Reference point</t>
  </si>
  <si>
    <t xml:space="preserve">% of WM</t>
  </si>
  <si>
    <t xml:space="preserve">Load (kg)</t>
  </si>
  <si>
    <t xml:space="preserve">When used</t>
  </si>
  <si>
    <t xml:space="preserve">Warmup readiness check (70%)</t>
  </si>
  <si>
    <t xml:space="preserve">70% feeler hang during warmup</t>
  </si>
  <si>
    <t xml:space="preserve">Deload load (75%)</t>
  </si>
  <si>
    <t xml:space="preserve">Tue deload set in W5/W10/W15</t>
  </si>
  <si>
    <t xml:space="preserve">@7 — Volume target floor</t>
  </si>
  <si>
    <t xml:space="preserve">Thu volume comfortable end</t>
  </si>
  <si>
    <t xml:space="preserve">@8 — Volume target ceiling</t>
  </si>
  <si>
    <t xml:space="preserve">Thu volume max RPE</t>
  </si>
  <si>
    <t xml:space="preserve">@8.5 — Heavy entry (Trans I)</t>
  </si>
  <si>
    <t xml:space="preserve">Tue top set Trans I early</t>
  </si>
  <si>
    <t xml:space="preserve">@9 — Heavy push</t>
  </si>
  <si>
    <t xml:space="preserve">Tue top set Trans I late / II</t>
  </si>
  <si>
    <t xml:space="preserve">@9.5 — Benchmark / Peak</t>
  </si>
  <si>
    <t xml:space="preserve">Test day / Peak top end</t>
  </si>
  <si>
    <t xml:space="preserve">Block-by-Block Target Loads</t>
  </si>
  <si>
    <t xml:space="preserve">Week</t>
  </si>
  <si>
    <t xml:space="preserve">Heavy RPE target</t>
  </si>
  <si>
    <t xml:space="preserve">Heavy top (kg)</t>
  </si>
  <si>
    <t xml:space="preserve">Thu % of heavy</t>
  </si>
  <si>
    <t xml:space="preserve">Thu volume (kg)</t>
  </si>
  <si>
    <t xml:space="preserve">BO % of heavy</t>
  </si>
  <si>
    <t xml:space="preserve">BO (kg)</t>
  </si>
  <si>
    <t xml:space="preserve">Trans I 1/4</t>
  </si>
  <si>
    <t xml:space="preserve">@8.5</t>
  </si>
  <si>
    <t xml:space="preserve">Trans I 2/4</t>
  </si>
  <si>
    <t xml:space="preserve">@8.5–9</t>
  </si>
  <si>
    <t xml:space="preserve">Trans I 3/4</t>
  </si>
  <si>
    <t xml:space="preserve">@9</t>
  </si>
  <si>
    <t xml:space="preserve">Trans I 4/4</t>
  </si>
  <si>
    <t xml:space="preserve">DELOAD + TEST</t>
  </si>
  <si>
    <t xml:space="preserve">Deload @6-7 / Test @9.5</t>
  </si>
  <si>
    <t xml:space="preserve">test</t>
  </si>
  <si>
    <t xml:space="preserve">—</t>
  </si>
  <si>
    <t xml:space="preserve">Trans II 1/4</t>
  </si>
  <si>
    <t xml:space="preserve">@9–9.5</t>
  </si>
  <si>
    <t xml:space="preserve">Trans II 2/4</t>
  </si>
  <si>
    <t xml:space="preserve">Trans II 3/4</t>
  </si>
  <si>
    <t xml:space="preserve">Trans II 4/4</t>
  </si>
  <si>
    <t xml:space="preserve">@9.5</t>
  </si>
  <si>
    <t xml:space="preserve">DELOAD + FINAL TEST</t>
  </si>
  <si>
    <t xml:space="preserve">Deload @6 / Final test @9.5</t>
  </si>
  <si>
    <t xml:space="preserve">Realization</t>
  </si>
  <si>
    <t xml:space="preserve">@9 singles</t>
  </si>
  <si>
    <t xml:space="preserve">How loads are derived</t>
  </si>
  <si>
    <t xml:space="preserve">• Working Max is anchored at @9.5 (the load you can hold 5s with nothing left). All RPE-targeted loads use the E1RM formula:  Load = WM × (40 + 6×RPE) / 97</t>
  </si>
  <si>
    <t xml:space="preserve">• Thursday volume = % of heavy (Saturday) top set, escalating across the block. NOT a function of Working Max directly.</t>
  </si>
  <si>
    <t xml:space="preserve">• Back-off: 2–3 sets at genuinely @7–8 (~82% of top set, ~4–5 kg drop). Stop when RPE creeps above @8 or grip breaks before 5s.</t>
  </si>
  <si>
    <t xml:space="preserve">• Deload Tue load = 75% of Working Max (the program's standard). Thu of deload week = benchmark test attempt at the new Working Max.</t>
  </si>
  <si>
    <t xml:space="preserve">• Loads rounded to nearest 0.5 kg. Smallest practical hangboard increment.</t>
  </si>
  <si>
    <t xml:space="preserve">• When you do a benchmark test, replace the Working Max input with the new tested number. Everything recalculates.</t>
  </si>
  <si>
    <t xml:space="preserve">Working Max History</t>
  </si>
  <si>
    <t xml:space="preserve">Optional log of past Working Max values for tracking progression across cycles.</t>
  </si>
  <si>
    <t xml:space="preserve">Date</t>
  </si>
  <si>
    <t xml:space="preserve">Trigger</t>
  </si>
  <si>
    <t xml:space="preserve">2026-05-19</t>
  </si>
  <si>
    <t xml:space="preserve">Pre-program benchmark</t>
  </si>
  <si>
    <t xml:space="preserve">Initial reference (Tue +25kg @10, looked stale on Thu)</t>
  </si>
  <si>
    <t xml:space="preserve">Recalibration</t>
  </si>
  <si>
    <t xml:space="preserve">Reset to empirical Thu ceiling; revisit on rested day</t>
  </si>
  <si>
    <t xml:space="preserve">Peak Block (W11–W14) — 3s Max Single Autoregulation</t>
  </si>
  <si>
    <t xml:space="preserve">Peak block Working Max (3s) — set after W10 test</t>
  </si>
  <si>
    <t xml:space="preserve">3s Working Max (kg)</t>
  </si>
  <si>
    <t xml:space="preserve">← Enter W10 3s test result here</t>
  </si>
  <si>
    <t xml:space="preserve">3s Session Autoregulation (Sat, W11–W14)</t>
  </si>
  <si>
    <t xml:space="preserve">Load selection</t>
  </si>
  <si>
    <t xml:space="preserve">Base each session on how 92% of last session's top 3s single feels during warmup:</t>
  </si>
  <si>
    <t xml:space="preserve">  @7 → today has +2.5–5 kg in it → increment</t>
  </si>
  <si>
    <t xml:space="preserve">  @8 → match last session load or +1–2.5 kg</t>
  </si>
  <si>
    <t xml:space="preserve">  @8.5+ → hold or back off — do NOT grind</t>
  </si>
  <si>
    <t xml:space="preserve">No back-off sets</t>
  </si>
  <si>
    <t xml:space="preserve">3s max singles are pure CNS stimulus. Stop after 3–5 quality singles. Quality = full 3s at target RPE.</t>
  </si>
  <si>
    <t xml:space="preserve">Fatigue stop</t>
  </si>
  <si>
    <t xml:space="preserve">Stop the session if: (1) load must drop &gt;5% to maintain @9, (2) grip break before second 2 of hold, (3) any joint discomfort.</t>
  </si>
  <si>
    <t xml:space="preserve">Rest between singles</t>
  </si>
  <si>
    <t xml:space="preserve">4–5 min minimum. Full neural recovery between each effort — these are not circuit sets.</t>
  </si>
  <si>
    <t xml:space="preserve">RPE ceiling</t>
  </si>
  <si>
    <t xml:space="preserve">Cap at @9.5 in W11–W13. W14 may push to @10 on the final single only if all prior singles felt clean.</t>
  </si>
  <si>
    <t xml:space="preserve">3s vs 5s E1RM note</t>
  </si>
  <si>
    <t xml:space="preserve">Heavy-3s E1RM in the Log is normalised ÷1.1 to a 5s-equivalent for trend tracking. Do NOT compare raw 3s E1RM values to Trans I/II 5s values — they are different stimuli. Use the Block Summary to track Peak vs Trans progress separately.</t>
  </si>
  <si>
    <t xml:space="preserve">Analytics — Progress Tracking for Autoregulated Training</t>
  </si>
  <si>
    <t xml:space="preserve">E1RM converts Load + RPE into a single comparable strength number. Trends, not single sessions, are the signal. Source data is auto-pulled from the Log; the _Data sheet holds raw aggregations.</t>
  </si>
  <si>
    <t xml:space="preserve">1. E1RM Trend — Are you actually getting stronger?</t>
  </si>
  <si>
    <t xml:space="preserve">Two series: Tuesday heavy E1RM (pink) and Thursday volume E1RM (green). Rising line at consistent RPE = real strength gain. Flat line across 3+ sessions at same RPE = real plateau, deload soon. Volume series should track below heavy.</t>
  </si>
  <si>
    <t xml:space="preserve">2. Benchmark vs Working Load Gap — How submaximal is your training?</t>
  </si>
  <si>
    <t xml:space="preserve">Working load (top set) as a percentage of your current best E1RM. Heavy day target = ~92–95%. Volume day target = ~80–88%. Gap consistently wider than these = under-stimulating. Consistently above = test the benchmark.</t>
  </si>
  <si>
    <t xml:space="preserve">3. Recovery Trend — Early warning system</t>
  </si>
  <si>
    <t xml:space="preserve">Next-day feel (1 fresh → 5 sharp pain). Rolling 5-session avg (blue line) is the trend signal. Rising average across 2+ weeks = accumulated fatigue; deload regardless of strength gains. &gt;3 average for a single session = recovery flag.</t>
  </si>
  <si>
    <t xml:space="preserve">4. Weekly Summary</t>
  </si>
  <si>
    <t xml:space="preserve">Per-week aggregations. Watch the Avg RPE column: if it creeps up while Max E1RM stays flat, that's a deload signal.</t>
  </si>
  <si>
    <t xml:space="preserve">Start</t>
  </si>
  <si>
    <t xml:space="preserve">End</t>
  </si>
  <si>
    <t xml:space="preserve">Yield</t>
  </si>
  <si>
    <t xml:space="preserve">OI</t>
  </si>
  <si>
    <t xml:space="preserve">Avg RPE</t>
  </si>
  <si>
    <t xml:space="preserve">Max E1RM</t>
  </si>
  <si>
    <t xml:space="preserve">Avg Next-Day</t>
  </si>
  <si>
    <t xml:space="preserve">Flag</t>
  </si>
  <si>
    <t xml:space="preserve">5. Block Summary</t>
  </si>
  <si>
    <t xml:space="preserve">Per-phase aggregations. The Max E1RM column shows the actual progression milestone for each phase — that's the report card.</t>
  </si>
  <si>
    <t xml:space="preserve">Phase</t>
  </si>
  <si>
    <t xml:space="preserve">Weeks</t>
  </si>
  <si>
    <t xml:space="preserve">Status</t>
  </si>
  <si>
    <t xml:space="preserve">Reading the Analytics</t>
  </si>
  <si>
    <t xml:space="preserve">Green flag (program working)</t>
  </si>
  <si>
    <t xml:space="preserve">E1RM trending up week-over-week. Avg RPE stable in target zone (Tue ~8.5–9, Thu ~7–8). Avg Next-Day Feel ≤2.5. Working % around 92–95% on heavy days. → Hold course, progress as planned.</t>
  </si>
  <si>
    <t xml:space="preserve">Yellow flag (caution)</t>
  </si>
  <si>
    <t xml:space="preserve">E1RM flat for 2+ weeks at same RPE. OR Avg RPE creeping up while load is held. OR Avg Next-Day Feel drifting above 2.5. → Drop Thursday volume one set, ensure deload not skipped, evaluate sleep.</t>
  </si>
  <si>
    <t xml:space="preserve">Red flag (back off)</t>
  </si>
  <si>
    <t xml:space="preserve">E1RM declining 2+ weeks. OR weekly Avg Next-Day Feel &gt;3 (recovery flag in summary). OR any joint inflammation signal in notes. → Stop loaded finger work or drop to deload loads. Apply exit criteria from Reference.</t>
  </si>
  <si>
    <t xml:space="preserve">Benchmark gap interpretation</t>
  </si>
  <si>
    <t xml:space="preserve">Heavy day working % consistently below ~90% with target RPE → benchmark is stale, you're submaximally training. Run a benchmark test ahead of schedule. Working % consistently above ~95% → load is creeping ahead of true strength; back off and let recovery catch up.</t>
  </si>
  <si>
    <t xml:space="preserve">Block decision (use at end of each block)</t>
  </si>
  <si>
    <t xml:space="preserve">Block Summary row gives the snapshot. If Max E1RM at end &gt; Max E1RM at start AND status=Complete AND no red flags during → advance to next block. Else → repeat block or insert extra deload.</t>
  </si>
  <si>
    <t xml:space="preserve">Session Log</t>
  </si>
  <si>
    <t xml:space="preserve">LOG GUIDE — only fill what applies:
HEAVY 5s (Trans)  → Type=Yielding  Role=Heavy
HEAVY 3s (Peak) → Type=Yielding  Role=Heavy-3s    Load=top-set kg  RPE=top-set RPE  Sets=back-offs completed
VOLUME (Thu) → Type=Yielding  Role=Volume   Load=working kg  RPE=working RPE  Sets=sets done (e.g. 4)
OI (Tue)     → Type=OI        Role=OI       Load &amp; RPE = leave blank           Sets=OI sets done
CLIMB        → Type=Climbing  Role=Climb    Load / RPE / Sets = leave blank
TEST (Sat)   → Type=Yielding  Role=Test     Load=max tested kg  RPE=9–9.5
DELOAD (Tue) → Type=Yielding  Role=Deload   Load=deload kg  RPE  Sets=sets done
Always fill: Date, Taxing (1–5), Next-Day Feel (1–5).  Felt (1–10) and Notes optional but useful.
E1RM auto-calculates for all Yielding sessions (Heavy, Volume, Test, Deload).</t>
  </si>
  <si>
    <t xml:space="preserve">Type  (Yielding / OI / Climbing)</t>
  </si>
  <si>
    <t xml:space="preserve">Venue</t>
  </si>
  <si>
    <t xml:space="preserve">Role  (Heavy / Volume / OI / Climb / Test / Deload)</t>
  </si>
  <si>
    <t xml:space="preserve">Top Set RPE</t>
  </si>
  <si>
    <t xml:space="preserve">Sets</t>
  </si>
  <si>
    <t xml:space="preserve">Session Taxing (1-5)</t>
  </si>
  <si>
    <t xml:space="preserve">Felt (1-10)</t>
  </si>
  <si>
    <t xml:space="preserve">Next-Day Feel (1-5)</t>
  </si>
  <si>
    <t xml:space="preserve">E1RM (kg) [5s-equiv; Heavy-3s ÷1.1]</t>
  </si>
  <si>
    <t xml:space="preserve">Yielding</t>
  </si>
  <si>
    <t xml:space="preserve">Board</t>
  </si>
  <si>
    <t xml:space="preserve">Accumulation</t>
  </si>
  <si>
    <t xml:space="preserve">Felt easy at +25kg, 1-2s left in tank</t>
  </si>
  <si>
    <t xml:space="preserve">Climbing</t>
  </si>
  <si>
    <t xml:space="preserve">Outdoor</t>
  </si>
  <si>
    <t xml:space="preserve">Outdoor easy</t>
  </si>
  <si>
    <t xml:space="preserve">Felt weaker, bit hurt finger</t>
  </si>
  <si>
    <t xml:space="preserve">Gym</t>
  </si>
  <si>
    <t xml:space="preserve">Project attempts, cold</t>
  </si>
  <si>
    <t xml:space="preserve">Tired after work</t>
  </si>
  <si>
    <t xml:space="preserve">Struggle to express power</t>
  </si>
  <si>
    <t xml:space="preserve">Good session, good execution, sent project</t>
  </si>
  <si>
    <t xml:space="preserve">Low energy but felt strong</t>
  </si>
  <si>
    <t xml:space="preserve">Felt good, sent alot, but felt dead fast. Low food</t>
  </si>
  <si>
    <t xml:space="preserve">Fun session, might go hangboard tomorrow</t>
  </si>
  <si>
    <t xml:space="preserve">Other</t>
  </si>
  <si>
    <t xml:space="preserve">Did some hb, felt abit tired</t>
  </si>
  <si>
    <t xml:space="preserve">Heavy</t>
  </si>
  <si>
    <t xml:space="preserve">Felt ok on hb, but tired spray sesh</t>
  </si>
  <si>
    <t xml:space="preserve">Volume</t>
  </si>
  <si>
    <t xml:space="preserve">Felt weak, tired, hb weak</t>
  </si>
  <si>
    <t xml:space="preserve">Week sesh, hangout tired sore</t>
  </si>
  <si>
    <t xml:space="preserve">Only hb, felt disconnected</t>
  </si>
  <si>
    <t xml:space="preserve">Felt ok after a long rest</t>
  </si>
  <si>
    <t xml:space="preserve">Felt strong on hb, 25 felt controlled, spray was easy</t>
  </si>
  <si>
    <t xml:space="preserve">Good sesh ggs!</t>
  </si>
  <si>
    <t xml:space="preserve">Weekly Plan — 16-Week Program, Transmutation Entry</t>
  </si>
  <si>
    <t xml:space="preserve">From W4 on: Tue = OI primer + limit board, Thu = volume yielding, Sat = heavy yielding, Sun = rest (3 finger sessions/wk). W1–W3 ran the old Tue-heavy / Sat–Sun-OI layout and are left as completed. Fill the Done?/Actual column after each session. Update Reference if benchmark changes after a test.</t>
  </si>
  <si>
    <t xml:space="preserve">May 11 – May 17, 2026</t>
  </si>
  <si>
    <t xml:space="preserve">Transmutation I (W1 of 4) — Discovery week</t>
  </si>
  <si>
    <t xml:space="preserve">Focus:</t>
  </si>
  <si>
    <t xml:space="preserve">First week of 2x yielding. Tue at @8.5 target. Pay attention to how Thursday feels relative to Tuesday — that 48h gap is the unknown variable.</t>
  </si>
  <si>
    <t xml:space="preserve">Day</t>
  </si>
  <si>
    <t xml:space="preserve">Session</t>
  </si>
  <si>
    <t xml:space="preserve">Target / Loads / Sets</t>
  </si>
  <si>
    <t xml:space="preserve">RPE Target</t>
  </si>
  <si>
    <t xml:space="preserve">Done? / Actual</t>
  </si>
  <si>
    <t xml:space="preserve">Mon</t>
  </si>
  <si>
    <t xml:space="preserve">No fingers. Easy mobility / sleep priority.</t>
  </si>
  <si>
    <t xml:space="preserve">Tue</t>
  </si>
  <si>
    <t xml:space="preserve">YIELDING — Heavy</t>
  </si>
  <si>
    <t xml:space="preserve">Warmup → Top set @8.5 (target ~+24 kg, 7s) | 3 back-offs at 92–95% with fatigue stop</t>
  </si>
  <si>
    <t xml:space="preserve">@8.5 / @8</t>
  </si>
  <si>
    <t xml:space="preserve">Done</t>
  </si>
  <si>
    <t xml:space="preserve">Wed</t>
  </si>
  <si>
    <t xml:space="preserve">Rest or easy climbing</t>
  </si>
  <si>
    <t xml:space="preserve">Jugs / volume only, no max fingers.</t>
  </si>
  <si>
    <t xml:space="preserve">Thu</t>
  </si>
  <si>
    <t xml:space="preserve">YIELDING — Volume</t>
  </si>
  <si>
    <t xml:space="preserve">82–85% of Tue top set, 4 sets, 7s (FIXED — no extensions in W1) | If RPE creeps to @8.5+ by set 3, drop load 5% and finish remaining sets. End early only if joint discomfort.</t>
  </si>
  <si>
    <t xml:space="preserve">@7–8</t>
  </si>
  <si>
    <t xml:space="preserve">Fri</t>
  </si>
  <si>
    <t xml:space="preserve">Sat</t>
  </si>
  <si>
    <t xml:space="preserve">OI — Beastmaker 22mm</t>
  </si>
  <si>
    <t xml:space="preserve">4–5 sets max squeeze, 5–7s, 3–5 min rest</t>
  </si>
  <si>
    <t xml:space="preserve">Max neural</t>
  </si>
  <si>
    <t xml:space="preserve">Sun</t>
  </si>
  <si>
    <t xml:space="preserve">May 18 – May 24, 2026</t>
  </si>
  <si>
    <t xml:space="preserve">Transmutation I (W2 of 4)</t>
  </si>
  <si>
    <t xml:space="preserve">If W1 felt manageable, increment Tue top set toward @9. Thursday can extend to 5 sets if W1 Thursday was clean.</t>
  </si>
  <si>
    <t xml:space="preserve">Top set @8.5–9 (target ~+25 kg) | 3–5 back-offs at 92–95%, fatigue stop on</t>
  </si>
  <si>
    <t xml:space="preserve">@8.5–9 / @8</t>
  </si>
  <si>
    <t xml:space="preserve">82–85% of Tue top set, 4–5 sets, 7s (FIXED) | If RPE creeps to @8.5+ by set 3, drop load 5% and finish remaining sets. End early only if joint discomfort.</t>
  </si>
  <si>
    <t xml:space="preserve">Skipped</t>
  </si>
  <si>
    <t xml:space="preserve">4–5 sets</t>
  </si>
  <si>
    <t xml:space="preserve">May 25 – May 31, 2026</t>
  </si>
  <si>
    <t xml:space="preserve">Transmutation I (W3 of 4)</t>
  </si>
  <si>
    <t xml:space="preserve">Holding @9 ceiling. Small increment if last Tue top set felt @8 rather than @9.</t>
  </si>
  <si>
    <t xml:space="preserve">Top set @9 (target ~+26 kg) | 3–5 back-offs, fatigue stop</t>
  </si>
  <si>
    <t xml:space="preserve">@9 / @8</t>
  </si>
  <si>
    <t xml:space="preserve">82–85% of Tue top set, 4–5 sets (FIXED) | If RPE creeps to @8.5+ by set 3, drop load 5% and finish remaining sets. End early only if joint discomfort.</t>
  </si>
  <si>
    <t xml:space="preserve">Jun 01 – Jun 07, 2026</t>
  </si>
  <si>
    <t xml:space="preserve">Transmutation I (W4 of 4) — Last push</t>
  </si>
  <si>
    <t xml:space="preserve">Final push before deload. Set the top of T1 — should be +26–27 kg @9 if progression has been clean.</t>
  </si>
  <si>
    <t xml:space="preserve">OI primer + LIMIT BOARD</t>
  </si>
  <si>
    <t xml:space="preserve">OI primer: 3–4 sets max squeeze, 5s, full rest (potentiate) → then limit boulder session</t>
  </si>
  <si>
    <t xml:space="preserve">Max neural / board</t>
  </si>
  <si>
    <t xml:space="preserve">4–5 sets @ ~20.5 kg (85% of heavy top set) — FIXED, no extensions | If RPE creeps to @8.5+ by set 3, drop load 5% and finish remaining sets. End early only if joint discomfort.</t>
  </si>
  <si>
    <t xml:space="preserve">Find today's top set — RPE leads (target in → col). WM anchor: ~25 kg. Load up/down freely. Back-offs: 2–3 sets at genuinely @7–8 (~4–5 kg lighter than top). | Fatigue stop: halt back-offs if (1) can't hold full 5s at back-off load, (2) load must drop &gt;5% to stay @8, (3) grip breaks before second 4, (4) any joint discomfort.</t>
  </si>
  <si>
    <t xml:space="preserve">Jun 08 – Jun 14, 2026</t>
  </si>
  <si>
    <t xml:space="preserve">DELOAD + BENCHMARK TEST</t>
  </si>
  <si>
    <t xml:space="preserve">Tue deload. Thu benchmark test on fresh fingers. UPDATE Reference benchmark after the test — Trans II percentages anchor on this number.</t>
  </si>
  <si>
    <t xml:space="preserve">Sleep, eat, recover.</t>
  </si>
  <si>
    <t xml:space="preserve">YIELDING — Light deload</t>
  </si>
  <si>
    <t xml:space="preserve">@6–7</t>
  </si>
  <si>
    <t xml:space="preserve">BENCHMARK TEST</t>
  </si>
  <si>
    <t xml:space="preserve">Warmup thoroughly. 1 set: find max load for 5s @9–9.5. Document new benchmark.</t>
  </si>
  <si>
    <t xml:space="preserve">Jun 15 – Jun 21, 2026</t>
  </si>
  <si>
    <t xml:space="preserve">Transmutation II (W1 of 4)</t>
  </si>
  <si>
    <t xml:space="preserve">Peak intensity opens with the new benchmark. Tue @9–9.5, Thursday loads bump up to 85–88% of Tue.</t>
  </si>
  <si>
    <t xml:space="preserve">4–5 sets @ ~21 kg (86% of heavy top set) — FIXED, no extensions | If RPE creeps to @8.5+ by set 3, drop load 5% and finish remaining sets. End early only if joint discomfort.</t>
  </si>
  <si>
    <t xml:space="preserve">@8</t>
  </si>
  <si>
    <t xml:space="preserve">@9–9.5 / @8</t>
  </si>
  <si>
    <t xml:space="preserve">Jun 22 – Jun 28, 2026</t>
  </si>
  <si>
    <t xml:space="preserve">Transmutation II (W2 of 4)</t>
  </si>
  <si>
    <t xml:space="preserve">Push the benchmark. PR territory. Watch Thu → Sat recovery — that's the canary.</t>
  </si>
  <si>
    <t xml:space="preserve">4–5 sets @ ~21.5 kg (87% of heavy top set) — FIXED, no extensions | If RPE creeps to @8.5+ by set 3, drop load 5% and finish remaining sets. End early only if joint discomfort.</t>
  </si>
  <si>
    <t xml:space="preserve">Jun 29 – Jul 05, 2026</t>
  </si>
  <si>
    <t xml:space="preserve">Transmutation II (W3 of 4)</t>
  </si>
  <si>
    <t xml:space="preserve">Continued push. If Thu RPE creeps past @8.5, drop load 5%. If recovery is degrading, drop OI to 1/week.</t>
  </si>
  <si>
    <t xml:space="preserve">Jul 06 – Jul 12, 2026</t>
  </si>
  <si>
    <t xml:space="preserve">Transmutation II (W4 of 4) — Last push</t>
  </si>
  <si>
    <t xml:space="preserve">Final hard week before deload. If no exit-criteria triggered, push one more increment.</t>
  </si>
  <si>
    <t xml:space="preserve">4–5 sets @ ~22 kg (88% of heavy top set) — FIXED, no extensions | If RPE creeps to @8.5+ by set 3, drop load 5% and finish remaining sets. End early only if joint discomfort.</t>
  </si>
  <si>
    <t xml:space="preserve">Jul 13 – Jul 19, 2026</t>
  </si>
  <si>
    <t xml:space="preserve">Tue deload. Thu benchmark test. UPDATE Reference benchmark — Peak Intensity anchors on this.</t>
  </si>
  <si>
    <t xml:space="preserve">Warmup thoroughly. 1 set: find max load for 5s @9–9.5. Document. THEN: 1 set, max load for 3s @9–9.5. Log both durations. Update 3s WM separately in Working Loads.</t>
  </si>
  <si>
    <t xml:space="preserve">Jul 20 – Jul 26, 2026</t>
  </si>
  <si>
    <t xml:space="preserve">Peak Intensity (W1 of 4)</t>
  </si>
  <si>
    <t xml:space="preserve">Peak block opens. Sat = 3s max singles — fresh, quality over volume. Thu = 5s structural support at 80%. RPE leads on both.</t>
  </si>
  <si>
    <t xml:space="preserve">3–4 sets @ ~22 kg (80% of heavy top set) — 5s holds, FIXED (structural support during peak) | If RPE creeps to @8.5+ by set 3, drop load 5% and finish remaining sets. End early only if joint discomfort.</t>
  </si>
  <si>
    <t xml:space="preserve">Jul 27 – Aug 02, 2026</t>
  </si>
  <si>
    <t xml:space="preserve">Peak Intensity (W2 of 4)</t>
  </si>
  <si>
    <t xml:space="preserve">Push the 3s ceiling. @9.5 explicit target if state allows. Quality of each single matters more than count — stop if form or recruitment drops.</t>
  </si>
  <si>
    <t xml:space="preserve">3–4 sets @ ~22.5 kg (80% of heavy top set) — 5s holds, FIXED (structural support during peak) | If RPE creeps to @8.5+ by set 3, drop load 5% and finish remaining sets. End early only if joint discomfort.</t>
  </si>
  <si>
    <t xml:space="preserve">@9.5 / @8</t>
  </si>
  <si>
    <t xml:space="preserve">Aug 03 – Aug 09, 2026</t>
  </si>
  <si>
    <t xml:space="preserve">Peak Intensity (W3 of 4)</t>
  </si>
  <si>
    <t xml:space="preserve">Highest absolute 3s loads expected this week or next. If Thu RPE creeps above @8, reduce sets to 3. Protect Saturday freshness.</t>
  </si>
  <si>
    <t xml:space="preserve">3–4 sets @ ~22.5 kg (81% of heavy top set) — 5s holds, FIXED (structural support during peak) | If RPE creeps to @8.5+ by set 3, drop load 5% and finish remaining sets. End early only if joint discomfort.</t>
  </si>
  <si>
    <t xml:space="preserve">Aug 10 – Aug 16, 2026</t>
  </si>
  <si>
    <t xml:space="preserve">Peak Intensity (W4 of 4) — Final push</t>
  </si>
  <si>
    <t xml:space="preserve">Final peak week. Express the full 3s strength built this cycle. If no niggles, push the last single hard.</t>
  </si>
  <si>
    <t xml:space="preserve">3–4 sets @ ~22.5 kg (82% of heavy top set) — 5s holds, FIXED (structural support during peak) | If RPE creeps to @8.5+ by set 3, drop load 5% and finish remaining sets. End early only if joint discomfort.</t>
  </si>
  <si>
    <t xml:space="preserve">Aug 17 – Aug 23, 2026</t>
  </si>
  <si>
    <t xml:space="preserve">Tue deload. Sat = 5s benchmark (primary cycle report card). Sun = 3s benchmark (anchor for next cycle Peak WM). Full day rest between the two tests — Sat test must not compromise Sun 3s result.</t>
  </si>
  <si>
    <t xml:space="preserve">@6</t>
  </si>
  <si>
    <t xml:space="preserve">FINAL BENCHMARK — 5s (primary)</t>
  </si>
  <si>
    <t xml:space="preserve">Warmup thoroughly. Find max load for 5s @9–9.5. Primary cycle report card. Log as Role=Test.</t>
  </si>
  <si>
    <t xml:space="preserve">FINAL BENCHMARK — 3s (secondary)</t>
  </si>
  <si>
    <t xml:space="preserve">After full Sat rest/sleep. Find max load for 3s @9–9.5. Sets anchor for next cycle Peak block 3s WM. Log as Role=Test. Update 3s WM in Working Loads.</t>
  </si>
  <si>
    <t xml:space="preserve">Aug 24 – Aug 30, 2026</t>
  </si>
  <si>
    <t xml:space="preserve">Express the gains on the wall. Plan next 16-week cycle (likely structure: similar 3-block, with new percentages anchored on final benchmark, possibly introduce 18mm work).</t>
  </si>
  <si>
    <t xml:space="preserve">OI primer + limit board</t>
  </si>
  <si>
    <t xml:space="preserve">OI primer 3–4 sets 5s → board / apply on wall</t>
  </si>
  <si>
    <t xml:space="preserve">Climbing — projects</t>
  </si>
  <si>
    <t xml:space="preserve">Apply strength outdoor or steep boards</t>
  </si>
  <si>
    <t xml:space="preserve">YIELDING — Maintenance</t>
  </si>
  <si>
    <t xml:space="preserve">@7</t>
  </si>
  <si>
    <t xml:space="preserve">YIELDING — Singles</t>
  </si>
  <si>
    <t xml:space="preserve">Climbing — apply</t>
  </si>
  <si>
    <t xml:space="preserve">Outdoor projecting if possible</t>
  </si>
  <si>
    <t xml:space="preserve">Progression</t>
  </si>
  <si>
    <t xml:space="preserve">Auto-summarized from the Log tab. Add sessions to Log and these stats update.</t>
  </si>
  <si>
    <t xml:space="preserve">Current Stats</t>
  </si>
  <si>
    <t xml:space="preserve">Recent Yielding Sessions</t>
  </si>
  <si>
    <t xml:space="preserve">Current yielding benchmark (max top set load)</t>
  </si>
  <si>
    <t xml:space="preserve">Top Set (kg)</t>
  </si>
  <si>
    <t xml:space="preserve">RPE</t>
  </si>
  <si>
    <t xml:space="preserve">Day Role</t>
  </si>
  <si>
    <t xml:space="preserve">Last yielding top set load (kg)</t>
  </si>
  <si>
    <t xml:space="preserve">Last yielding date</t>
  </si>
  <si>
    <t xml:space="preserve">Last yielding RPE</t>
  </si>
  <si>
    <t xml:space="preserve">Total yielding sessions</t>
  </si>
  <si>
    <t xml:space="preserve">Total OI sessions</t>
  </si>
  <si>
    <t xml:space="preserve">Total climbing sessions</t>
  </si>
  <si>
    <t xml:space="preserve">Avg next-day feel (last 10 sessions)</t>
  </si>
  <si>
    <t xml:space="preserve">Avg top set RPE (last 5 yielding)</t>
  </si>
  <si>
    <t xml:space="preserve">Yellow-flag sessions (Strength Felt ≤ 5)</t>
  </si>
  <si>
    <t xml:space="preserve">Notes on stats</t>
  </si>
  <si>
    <t xml:space="preserve">Benchmark = max load you held for 5s @9–9.5 on a yielding session. Only valid if Top Set Load is filled in Log.</t>
  </si>
  <si>
    <t xml:space="preserve">Reference</t>
  </si>
  <si>
    <t xml:space="preserve">Profile, schedule, autoregulation rules, block definitions, and exit criteria. Update profile stats as they change.</t>
  </si>
  <si>
    <t xml:space="preserve">Profile</t>
  </si>
  <si>
    <t xml:space="preserve">Bodyweight (kg)</t>
  </si>
  <si>
    <t xml:space="preserve">Height (cm)</t>
  </si>
  <si>
    <t xml:space="preserve">Outdoor bouldering</t>
  </si>
  <si>
    <t xml:space="preserve">7B (V8)</t>
  </si>
  <si>
    <t xml:space="preserve">Moonboard</t>
  </si>
  <si>
    <t xml:space="preserve">7A</t>
  </si>
  <si>
    <t xml:space="preserve">Kilter Board</t>
  </si>
  <si>
    <t xml:space="preserve">7B</t>
  </si>
  <si>
    <t xml:space="preserve">Weighted pull-up 1RM</t>
  </si>
  <si>
    <t xml:space="preserve">+40 kg</t>
  </si>
  <si>
    <t xml:space="preserve">Current yielding benchmark</t>
  </si>
  <si>
    <t xml:space="preserve">+25 kg on 20mm half crimp, 5s (UPDATE after each benchmark test)</t>
  </si>
  <si>
    <t xml:space="preserve">Total load @ benchmark</t>
  </si>
  <si>
    <t xml:space="preserve">~92.5 kg (~137% BW)</t>
  </si>
  <si>
    <t xml:space="preserve">Started hangboarding</t>
  </si>
  <si>
    <t xml:space="preserve">~Dec 2025 (~5 months)</t>
  </si>
  <si>
    <t xml:space="preserve">Nutrition status</t>
  </si>
  <si>
    <t xml:space="preserve">Long-term target</t>
  </si>
  <si>
    <t xml:space="preserve">Weekly Schedule</t>
  </si>
  <si>
    <t xml:space="preserve">Rest (or easy climbing / no fingers)</t>
  </si>
  <si>
    <t xml:space="preserve">OI primer + LIMIT BOARD (light neural prep, then board limit — not a heavy hang)</t>
  </si>
  <si>
    <t xml:space="preserve">Rest or easy climbing — no max fingers</t>
  </si>
  <si>
    <t xml:space="preserve">YIELDING — Volume day (4–5 sets @7–8, fixed sets, no extensions)</t>
  </si>
  <si>
    <t xml:space="preserve">YIELDING — Heavy day (Sat). Trans I–II: 5s hangs, top set at block RPE, back-offs at @7–8. Peak (W11–14): 3s max singles @9.5, 3–5 efforts, 4–5 min rest, no back-offs.</t>
  </si>
  <si>
    <t xml:space="preserve">RPE Scale (for yielding top sets)</t>
  </si>
  <si>
    <t xml:space="preserve">RPE 10</t>
  </si>
  <si>
    <t xml:space="preserve">Failure — fingers opened, could not hold full duration</t>
  </si>
  <si>
    <t xml:space="preserve">RPE 9.5</t>
  </si>
  <si>
    <t xml:space="preserve">RPE 9</t>
  </si>
  <si>
    <t xml:space="preserve">Could have held ~1 more second</t>
  </si>
  <si>
    <t xml:space="preserve">RPE 8</t>
  </si>
  <si>
    <t xml:space="preserve">Could have held ~2 more seconds (target for heavy day top set)</t>
  </si>
  <si>
    <t xml:space="preserve">RPE 7</t>
  </si>
  <si>
    <t xml:space="preserve">Smooth, 3+ seconds left, no grip break sensation (target for volume day)</t>
  </si>
  <si>
    <t xml:space="preserve">RPE 6</t>
  </si>
  <si>
    <t xml:space="preserve">Comfortable, clearly submaximal</t>
  </si>
  <si>
    <t xml:space="preserve">RPE 5 or lower</t>
  </si>
  <si>
    <t xml:space="preserve">Warmup territory</t>
  </si>
  <si>
    <t xml:space="preserve">Autoregulation Rules</t>
  </si>
  <si>
    <t xml:space="preserve">Pre-session readiness check</t>
  </si>
  <si>
    <t xml:space="preserve">During the 70%-benchmark warmup hang (5s), assess RPE. Normal feels @5–6. If @7+, drop today's loads 5–10% and skip fatigue extensions. If @8+ or any joint tenderness, skip session entirely.</t>
  </si>
  <si>
    <t xml:space="preserve">Don't load based on last Tuesday's number. Load based on how 92% of last Tuesday's top set feels as a warmup-tier set today: @7 → today has +2.5–5 kg in it; @8 → match or +2.5 kg; @8.5+ → hold or back off.</t>
  </si>
  <si>
    <t xml:space="preserve">Fatigue stop (Tuesday back-offs)</t>
  </si>
  <si>
    <t xml:space="preserve">Start back-offs ~4–5 kg below top set (@7–8 genuinely). Continue back-off sets until ANY of: (1) cannot hit a full 5s at back-off load, (2) load must drop &gt;5% to maintain @8, (3) grip break sensation appears before second 5 of the hold, (4) joint discomfort. Typical: 3–5 back-offs on good days, 1–2 when fatigued.</t>
  </si>
  <si>
    <t xml:space="preserve">Thursday volume rule</t>
  </si>
  <si>
    <t xml:space="preserve">Fixed 4–5 sets. NO extensions even if you feel good. If RPE on what should be @7–8 creeps to @8.5+ by set 3, drop load 5%. If still creeping, end at the set you're on. Thursday's job is buffer, not stimulus.</t>
  </si>
  <si>
    <t xml:space="preserve">Inter-week trend</t>
  </si>
  <si>
    <t xml:space="preserve">Log top set load, back-off count, and top set RPE every session. Two consecutive weeks of declining performance at same RPE = accumulated fatigue. Deload week 3 or 4 regardless of feel.</t>
  </si>
  <si>
    <t xml:space="preserve">Benchmark recalibration</t>
  </si>
  <si>
    <t xml:space="preserve">Every ~4 weeks, do a benchmark test: 1 set, 5s, find max load that hits @9–9.5. Recalibrate all working percentages from this number.</t>
  </si>
  <si>
    <t xml:space="preserve">Block Definitions (16-week cycle, Transmutation entry)</t>
  </si>
  <si>
    <t xml:space="preserve">Transmutation I (W1–4)</t>
  </si>
  <si>
    <t xml:space="preserve">Entry block. Tue @8.5–9 autoregulated top set + back-offs at 92–95% with fatigue stop. Thu 82–85% of Tue, 4–5 sets @7–8 (FIXED). Week 1 is a discovery check — see how the 48h between yielding sessions actually feels.</t>
  </si>
  <si>
    <t xml:space="preserve">Deload + Benchmark Test (W5)</t>
  </si>
  <si>
    <t xml:space="preserve">Tue: 3 sets at 75% benchmark @6–7. Sat: TEST 1 set max 5s @9–9.5. Update Reference benchmark with the result — Trans II percentages anchor here.</t>
  </si>
  <si>
    <t xml:space="preserve">Transmutation II (W6–9)</t>
  </si>
  <si>
    <t xml:space="preserve">Peak intensity with new benchmark. Tue @9–9.5 chasing the new ceiling. Thu loads up to 85–88% of Tue, 4–5 sets @8 (FIXED). Most gains usually accumulate here.</t>
  </si>
  <si>
    <t xml:space="preserve">Deload + Benchmark Test (W10)</t>
  </si>
  <si>
    <t xml:space="preserve">Same as W5 deload. New benchmark documented becomes the anchor for Peak Intensity block.</t>
  </si>
  <si>
    <t xml:space="preserve">Peak Intensity (W11–14)</t>
  </si>
  <si>
    <t xml:space="preserve">Highest-intensity block. Tue @9.5 explicit push, strict fatigue stops. Thu 88–90% of Tue, 4–5 sets @8 (FIXED). If recovery degrades, drop OI to 1×/week. Watch the canaries.</t>
  </si>
  <si>
    <t xml:space="preserve">Deload + Final Benchmark (W15)</t>
  </si>
  <si>
    <t xml:space="preserve">Recovery week + cycle report card. The benchmark on Sat defines the next 16-week cycle's starting point.</t>
  </si>
  <si>
    <t xml:space="preserve">Realization (W16)</t>
  </si>
  <si>
    <t xml:space="preserve">Low volume, high specificity. 2–3 near-max singles on Tue. Light or skipped Thu. Apply on the wall. Climb hard.</t>
  </si>
  <si>
    <t xml:space="preserve">Exit Criteria — When to Back Off</t>
  </si>
  <si>
    <t xml:space="preserve">Two declining weeks</t>
  </si>
  <si>
    <t xml:space="preserve">Benchmark or working loads decline at the same RPE for 2 consecutive weeks → repeat current block at higher conservatism, do NOT advance.</t>
  </si>
  <si>
    <t xml:space="preserve">Joint inflammation</t>
  </si>
  <si>
    <t xml:space="preserve">Any morning stiffness, end-range flexion pain, or tenderness on warmup → stop loaded finger training. Synovitis rule. Return at 70–80% load after fully asymptomatic.</t>
  </si>
  <si>
    <t xml:space="preserve">Recovery degradation</t>
  </si>
  <si>
    <t xml:space="preserve">Thu → Sat recovery feels worse week-over-week, or rest between sets needs &gt;5 min when you previously needed 4 → drop Thu to 1x/week for 2 weeks.</t>
  </si>
  <si>
    <t xml:space="preserve">Yellow-flag frequency</t>
  </si>
  <si>
    <t xml:space="preserve">More than one yellow-flag readiness check per 2-week block → reduce volume, extend current block, push back deload.</t>
  </si>
  <si>
    <t xml:space="preserve">Sleep degradation</t>
  </si>
  <si>
    <t xml:space="preserve">Sleep quality dropping for 5+ consecutive days during a hard block → cut Thursday this week, reassess.</t>
  </si>
  <si>
    <t xml:space="preserve">Non-Negotiables</t>
  </si>
  <si>
    <t xml:space="preserve">☐</t>
  </si>
  <si>
    <t xml:space="preserve">Never do heavy/volume hangboard on top of hard climbing (the Tue OI primer before board is the intentional exception — keep it light)</t>
  </si>
  <si>
    <t xml:space="preserve">Leave 1–2s in the tank on max efforts (cap @9 except benchmark tests)</t>
  </si>
  <si>
    <t xml:space="preserve">Warm up 15–20 min before any loaded finger work, including 70% benchmark readiness check</t>
  </si>
  <si>
    <t xml:space="preserve">Half or open crimp for training, not full crimp</t>
  </si>
  <si>
    <t xml:space="preserve">1–2.5 kg increments — let RPE earn each step up</t>
  </si>
  <si>
    <t xml:space="preserve">Stop immediately on sharp or twangy finger pain</t>
  </si>
  <si>
    <t xml:space="preserve">Stop loaded training entirely during any joint inflammation</t>
  </si>
  <si>
    <t xml:space="preserve">Collagen + vitamin C 30–60 min pre-session</t>
  </si>
  <si>
    <t xml:space="preserve">7–9 h sleep, consistent</t>
  </si>
  <si>
    <t xml:space="preserve">Back-to-back climbing days: hangboard on day 1, before climbing, after warmup</t>
  </si>
  <si>
    <t xml:space="preserve">Proactive deload weeks every 4 weeks — never reactive</t>
  </si>
  <si>
    <t xml:space="preserve">Feel Scales (Log columns)</t>
  </si>
  <si>
    <t xml:space="preserve">Session Feel</t>
  </si>
  <si>
    <t xml:space="preserve">1 effortless / 2 easy / 3 hard but clean (target) / 4 near failure / 5 failed</t>
  </si>
  <si>
    <t xml:space="preserve">See RPE scale above. Target depends on day: Tue heavy = 8.5–9; Tue benchmark = 9–9.5; Thu volume = 7–8.</t>
  </si>
  <si>
    <t xml:space="preserve">Next-Day Feel</t>
  </si>
  <si>
    <t xml:space="preserve">1 fresh / 2 mild stiffness / 3 noticeable soreness / 4 painful or stiff — deload / 5 sharp pain — STOP loaded training</t>
  </si>
  <si>
    <t xml:space="preserve">E1RM Calculation (RPE → %1RM)</t>
  </si>
  <si>
    <t xml:space="preserve">Formula</t>
  </si>
  <si>
    <t xml:space="preserve">E1RM = Top Set Load × 100 ÷ (40 + 6 × RPE). Maps a submaximal hang to estimated max for that session. Lets you compare strength across sessions with different daily readiness.</t>
  </si>
  <si>
    <t xml:space="preserve">RPE 10 → 100%</t>
  </si>
  <si>
    <t xml:space="preserve">True max — load held = E1RM</t>
  </si>
  <si>
    <t xml:space="preserve">RPE 9 → 94%</t>
  </si>
  <si>
    <t xml:space="preserve">+25 kg @9 → E1RM ≈ 26.6 kg</t>
  </si>
  <si>
    <t xml:space="preserve">RPE 8.5 → 91%</t>
  </si>
  <si>
    <t xml:space="preserve">+24 kg @8.5 → E1RM ≈ 26.4 kg</t>
  </si>
  <si>
    <t xml:space="preserve">RPE 8 → 88%</t>
  </si>
  <si>
    <t xml:space="preserve">+22 kg @8 → E1RM = 25.0 kg</t>
  </si>
  <si>
    <t xml:space="preserve">RPE 7 → 82%</t>
  </si>
  <si>
    <t xml:space="preserve">+20 kg @7 → E1RM ≈ 24.4 kg</t>
  </si>
  <si>
    <t xml:space="preserve">RPE 6 → 76%</t>
  </si>
  <si>
    <t xml:space="preserve">Submaximal warmup territory</t>
  </si>
  <si>
    <t xml:space="preserve">#</t>
  </si>
  <si>
    <t xml:space="preserve">Top Load</t>
  </si>
  <si>
    <t xml:space="preserve">E1RM</t>
  </si>
  <si>
    <t xml:space="preserve">Heavy E1RM</t>
  </si>
  <si>
    <t xml:space="preserve">Volume E1RM</t>
  </si>
  <si>
    <t xml:space="preserve">Working % of max E1RM</t>
  </si>
  <si>
    <t xml:space="preserve">Rolling 5-avg</t>
  </si>
  <si>
    <t xml:space="preserve">Heavy %</t>
  </si>
  <si>
    <t xml:space="preserve">Volume %</t>
  </si>
  <si>
    <t xml:space="preserve">Weekly Summary</t>
  </si>
  <si>
    <t xml:space="preserve">Deload + Test</t>
  </si>
  <si>
    <t xml:space="preserve">Peak 1/4</t>
  </si>
  <si>
    <t xml:space="preserve">Peak 2/4</t>
  </si>
  <si>
    <t xml:space="preserve">Peak 3/4</t>
  </si>
  <si>
    <t xml:space="preserve">Peak 4/4</t>
  </si>
  <si>
    <t xml:space="preserve">Block Summary</t>
  </si>
  <si>
    <t xml:space="preserve">Start Date</t>
  </si>
  <si>
    <t xml:space="preserve">End Date</t>
  </si>
  <si>
    <t xml:space="preserve">Transmutation I</t>
  </si>
  <si>
    <t xml:space="preserve">W1–W4</t>
  </si>
  <si>
    <t xml:space="preserve">Deload + Test W5</t>
  </si>
  <si>
    <t xml:space="preserve">Transmutation II</t>
  </si>
  <si>
    <t xml:space="preserve">W6–W9</t>
  </si>
  <si>
    <t xml:space="preserve">Deload + Test W10</t>
  </si>
  <si>
    <t xml:space="preserve">Peak Intensity</t>
  </si>
  <si>
    <t xml:space="preserve">W11–W14</t>
  </si>
  <si>
    <t xml:space="preserve">Deload + Final Test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</si>
</sst>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&quot; kg&quot;"/>
    <numFmt numFmtId="166" formatCode="0%"/>
    <numFmt numFmtId="167" formatCode="0.0&quot; deload&quot;"/>
    <numFmt numFmtId="168" formatCode="0.0&quot; max test&quot;"/>
    <numFmt numFmtId="169" formatCode="yyyy\-mm\-dd;;;"/>
    <numFmt numFmtId="170" formatCode="0;;;"/>
    <numFmt numFmtId="171" formatCode="0.0;;;"/>
    <numFmt numFmtId="172" formatCode="0.00;;;"/>
    <numFmt numFmtId="173" formatCode="mmm\ dd"/>
    <numFmt numFmtId="174" formatCode="0.0;;;@"/>
    <numFmt numFmtId="175" formatCode="yyyy\-mm\-dd"/>
    <numFmt numFmtId="176" formatCode="0.0"/>
    <numFmt numFmtId="177" formatCode="0.##;;;"/>
    <numFmt numFmtId="178" formatCode=";;;"/>
    <numFmt numFmtId="179" formatCode="General"/>
    <numFmt numFmtId="180" formatCode="0.00"/>
    <numFmt numFmtId="181" formatCode="0.0\%"/>
    <numFmt numFmtId="182" formatCode="0"/>
  </numFmts>
  <fonts count="3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4858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11"/>
      <color rgb="FF2F4858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4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1"/>
      <name val="Cambria"/>
      <family val="0"/>
      <charset val="1"/>
    </font>
    <font>
      <sz val="11"/>
      <color rgb="FFFF0000"/>
      <name val="Cambria"/>
      <family val="0"/>
      <charset val="1"/>
    </font>
    <font>
      <b val="true"/>
      <sz val="12"/>
      <color rgb="FF2F4858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10"/>
      <color rgb="FFD32F2F"/>
      <name val="Arial"/>
      <family val="0"/>
      <charset val="1"/>
    </font>
    <font>
      <b val="true"/>
      <sz val="10"/>
      <color rgb="FF2F485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2F485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9"/>
      <color theme="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8EEF2"/>
        <bgColor rgb="FFE3F2FD"/>
      </patternFill>
    </fill>
    <fill>
      <patternFill patternType="solid">
        <fgColor rgb="FF2F4858"/>
        <bgColor rgb="FF2F5496"/>
      </patternFill>
    </fill>
    <fill>
      <patternFill patternType="solid">
        <fgColor rgb="FFFFE0B2"/>
        <bgColor rgb="FFFFE699"/>
      </patternFill>
    </fill>
    <fill>
      <patternFill patternType="solid">
        <fgColor rgb="FFFCE4EC"/>
        <bgColor rgb="FFF8D7DA"/>
      </patternFill>
    </fill>
    <fill>
      <patternFill patternType="solid">
        <fgColor rgb="FF2F5496"/>
        <bgColor rgb="FF2F4858"/>
      </patternFill>
    </fill>
    <fill>
      <patternFill patternType="solid">
        <fgColor rgb="FFD9E2F3"/>
        <bgColor rgb="FFD9D9D9"/>
      </patternFill>
    </fill>
    <fill>
      <patternFill patternType="solid">
        <fgColor rgb="FFFFE699"/>
        <bgColor rgb="FFFFE0B2"/>
      </patternFill>
    </fill>
    <fill>
      <patternFill patternType="solid">
        <fgColor rgb="FFFFF2CC"/>
        <bgColor rgb="FFFFF3CD"/>
      </patternFill>
    </fill>
    <fill>
      <patternFill patternType="solid">
        <fgColor rgb="FFFFFEF0"/>
        <bgColor rgb="FFFFFFFF"/>
      </patternFill>
    </fill>
    <fill>
      <patternFill patternType="solid">
        <fgColor rgb="FFF1F8E9"/>
        <bgColor rgb="FFFFFEF0"/>
      </patternFill>
    </fill>
    <fill>
      <patternFill patternType="solid">
        <fgColor rgb="FFFFF9C4"/>
        <bgColor rgb="FFFFF3CD"/>
      </patternFill>
    </fill>
    <fill>
      <patternFill patternType="solid">
        <fgColor rgb="FFE3F2FD"/>
        <bgColor rgb="FFE8EE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3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C00000"/>
      <rgbColor rgb="FF008000"/>
      <rgbColor rgb="FF000080"/>
      <rgbColor rgb="FF808000"/>
      <rgbColor rgb="FF800080"/>
      <rgbColor rgb="FF4A7EBB"/>
      <rgbColor rgb="FFBFBFBF"/>
      <rgbColor rgb="FF8B8B8B"/>
      <rgbColor rgb="FFD9E2F3"/>
      <rgbColor rgb="FFC2185B"/>
      <rgbColor rgb="FFFFF9C4"/>
      <rgbColor rgb="FFE3F2FD"/>
      <rgbColor rgb="FF660066"/>
      <rgbColor rgb="FFFFFEF0"/>
      <rgbColor rgb="FF0070C0"/>
      <rgbColor rgb="FFCCCCCC"/>
      <rgbColor rgb="FF000080"/>
      <rgbColor rgb="FFFF00FF"/>
      <rgbColor rgb="FFFFF3CD"/>
      <rgbColor rgb="FF00FFFF"/>
      <rgbColor rgb="FF800080"/>
      <rgbColor rgb="FF800000"/>
      <rgbColor rgb="FF008080"/>
      <rgbColor rgb="FF0000FF"/>
      <rgbColor rgb="FF00CCFF"/>
      <rgbColor rgb="FFE8EEF2"/>
      <rgbColor rgb="FFD4EDDA"/>
      <rgbColor rgb="FFFFE699"/>
      <rgbColor rgb="FFB0BEC5"/>
      <rgbColor rgb="FFF8D7DA"/>
      <rgbColor rgb="FFD9D9D9"/>
      <rgbColor rgb="FFFFE0B2"/>
      <rgbColor rgb="FF1976D2"/>
      <rgbColor rgb="FF33CCCC"/>
      <rgbColor rgb="FFF1F8E9"/>
      <rgbColor rgb="FFFCE4EC"/>
      <rgbColor rgb="FFFF9900"/>
      <rgbColor rgb="FFFF6600"/>
      <rgbColor rgb="FF595959"/>
      <rgbColor rgb="FFB7B7B7"/>
      <rgbColor rgb="FF003366"/>
      <rgbColor rgb="FF388E3C"/>
      <rgbColor rgb="FF003300"/>
      <rgbColor rgb="FF333300"/>
      <rgbColor rgb="FFD32F2F"/>
      <rgbColor rgb="FF993366"/>
      <rgbColor rgb="FF2F5496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E1RM Trend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"Heavy E1RM"</c:f>
              <c:strCache>
                <c:ptCount val="1"/>
                <c:pt idx="0">
                  <c:v>Heavy E1RM</c:v>
                </c:pt>
              </c:strCache>
            </c:strRef>
          </c:tx>
          <c:spPr>
            <a:solidFill>
              <a:srgbClr val="c2185b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c2185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_Data!$B$2:$B$51</c:f>
              <c:numCache>
                <c:formatCode>yyyy\-mm\-dd</c:formatCode>
                <c:ptCount val="50"/>
                <c:pt idx="0">
                  <c:v>46173</c:v>
                </c:pt>
                <c:pt idx="1">
                  <c:v>46168</c:v>
                </c:pt>
                <c:pt idx="2">
                  <c:v>46161</c:v>
                </c:pt>
                <c:pt idx="3">
                  <c:v>46156</c:v>
                </c:pt>
                <c:pt idx="4">
                  <c:v>46154</c:v>
                </c:pt>
                <c:pt idx="5">
                  <c:v>46146</c:v>
                </c:pt>
                <c:pt idx="6">
                  <c:v>46143</c:v>
                </c:pt>
                <c:pt idx="7">
                  <c:v>46134</c:v>
                </c:pt>
                <c:pt idx="8">
                  <c:v>46126</c:v>
                </c:pt>
              </c:numCache>
            </c:numRef>
          </c:xVal>
          <c:yVal>
            <c:numRef>
              <c:f>_Data!$G$2:$G$51</c:f>
              <c:numCache>
                <c:formatCode>0.0;;;</c:formatCode>
                <c:ptCount val="50"/>
                <c:pt idx="1">
                  <c:v>26.6</c:v>
                </c:pt>
                <c:pt idx="2">
                  <c:v>25</c:v>
                </c:pt>
                <c:pt idx="4">
                  <c:v>25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"Volume E1RM"</c:f>
              <c:strCache>
                <c:ptCount val="1"/>
                <c:pt idx="0">
                  <c:v>Volume E1RM</c:v>
                </c:pt>
              </c:strCache>
            </c:strRef>
          </c:tx>
          <c:spPr>
            <a:solidFill>
              <a:srgbClr val="388e3c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388e3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_Data!$B$2:$B$51</c:f>
              <c:numCache>
                <c:formatCode>yyyy\-mm\-dd</c:formatCode>
                <c:ptCount val="50"/>
                <c:pt idx="0">
                  <c:v>46173</c:v>
                </c:pt>
                <c:pt idx="1">
                  <c:v>46168</c:v>
                </c:pt>
                <c:pt idx="2">
                  <c:v>46161</c:v>
                </c:pt>
                <c:pt idx="3">
                  <c:v>46156</c:v>
                </c:pt>
                <c:pt idx="4">
                  <c:v>46154</c:v>
                </c:pt>
                <c:pt idx="5">
                  <c:v>46146</c:v>
                </c:pt>
                <c:pt idx="6">
                  <c:v>46143</c:v>
                </c:pt>
                <c:pt idx="7">
                  <c:v>46134</c:v>
                </c:pt>
                <c:pt idx="8">
                  <c:v>46126</c:v>
                </c:pt>
              </c:numCache>
            </c:numRef>
          </c:xVal>
          <c:yVal>
            <c:numRef>
              <c:f>_Data!$H$2:$H$51</c:f>
              <c:numCache>
                <c:formatCode>0.0;;;</c:formatCode>
                <c:ptCount val="50"/>
                <c:pt idx="0">
                  <c:v>24.4</c:v>
                </c:pt>
                <c:pt idx="3">
                  <c:v>20</c:v>
                </c:pt>
              </c:numCache>
            </c:numRef>
          </c:yVal>
          <c:smooth val="1"/>
        </c:ser>
        <c:axId val="7024692"/>
        <c:axId val="3367079"/>
      </c:scatterChart>
      <c:valAx>
        <c:axId val="7024692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dd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67079"/>
        <c:crosses val="autoZero"/>
        <c:crossBetween val="midCat"/>
      </c:valAx>
      <c:valAx>
        <c:axId val="336707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E1RM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02469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Working Load as % of Current Best E1RM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"Heavy %"</c:f>
              <c:strCache>
                <c:ptCount val="1"/>
                <c:pt idx="0">
                  <c:v>Heavy %</c:v>
                </c:pt>
              </c:strCache>
            </c:strRef>
          </c:tx>
          <c:spPr>
            <a:solidFill>
              <a:srgbClr val="c2185b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c2185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_Data!$B$2:$B$51</c:f>
              <c:numCache>
                <c:formatCode>yyyy\-mm\-dd</c:formatCode>
                <c:ptCount val="50"/>
                <c:pt idx="0">
                  <c:v>46173</c:v>
                </c:pt>
                <c:pt idx="1">
                  <c:v>46168</c:v>
                </c:pt>
                <c:pt idx="2">
                  <c:v>46161</c:v>
                </c:pt>
                <c:pt idx="3">
                  <c:v>46156</c:v>
                </c:pt>
                <c:pt idx="4">
                  <c:v>46154</c:v>
                </c:pt>
                <c:pt idx="5">
                  <c:v>46146</c:v>
                </c:pt>
                <c:pt idx="6">
                  <c:v>46143</c:v>
                </c:pt>
                <c:pt idx="7">
                  <c:v>46134</c:v>
                </c:pt>
                <c:pt idx="8">
                  <c:v>46126</c:v>
                </c:pt>
              </c:numCache>
            </c:numRef>
          </c:xVal>
          <c:yVal>
            <c:numRef>
              <c:f>_Data!$S$2:$S$51</c:f>
              <c:numCache>
                <c:formatCode>0.0;;;</c:formatCode>
                <c:ptCount val="50"/>
                <c:pt idx="1">
                  <c:v>93.984962406015</c:v>
                </c:pt>
                <c:pt idx="2">
                  <c:v>93.984962406015</c:v>
                </c:pt>
                <c:pt idx="4">
                  <c:v>93.984962406015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"Volume %"</c:f>
              <c:strCache>
                <c:ptCount val="1"/>
                <c:pt idx="0">
                  <c:v>Volume %</c:v>
                </c:pt>
              </c:strCache>
            </c:strRef>
          </c:tx>
          <c:spPr>
            <a:solidFill>
              <a:srgbClr val="388e3c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388e3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_Data!$B$2:$B$51</c:f>
              <c:numCache>
                <c:formatCode>yyyy\-mm\-dd</c:formatCode>
                <c:ptCount val="50"/>
                <c:pt idx="0">
                  <c:v>46173</c:v>
                </c:pt>
                <c:pt idx="1">
                  <c:v>46168</c:v>
                </c:pt>
                <c:pt idx="2">
                  <c:v>46161</c:v>
                </c:pt>
                <c:pt idx="3">
                  <c:v>46156</c:v>
                </c:pt>
                <c:pt idx="4">
                  <c:v>46154</c:v>
                </c:pt>
                <c:pt idx="5">
                  <c:v>46146</c:v>
                </c:pt>
                <c:pt idx="6">
                  <c:v>46143</c:v>
                </c:pt>
                <c:pt idx="7">
                  <c:v>46134</c:v>
                </c:pt>
                <c:pt idx="8">
                  <c:v>46126</c:v>
                </c:pt>
              </c:numCache>
            </c:numRef>
          </c:xVal>
          <c:yVal>
            <c:numRef>
              <c:f>_Data!$T$2:$T$51</c:f>
              <c:numCache>
                <c:formatCode>0.0;;;</c:formatCode>
                <c:ptCount val="50"/>
                <c:pt idx="0">
                  <c:v>75.187969924812</c:v>
                </c:pt>
                <c:pt idx="3">
                  <c:v>75.187969924812</c:v>
                </c:pt>
              </c:numCache>
            </c:numRef>
          </c:yVal>
          <c:smooth val="1"/>
        </c:ser>
        <c:axId val="47859671"/>
        <c:axId val="72838509"/>
      </c:scatterChart>
      <c:valAx>
        <c:axId val="4785967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dd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838509"/>
        <c:crosses val="autoZero"/>
        <c:crossBetween val="midCat"/>
      </c:valAx>
      <c:valAx>
        <c:axId val="72838509"/>
        <c:scaling>
          <c:orientation val="minMax"/>
          <c:max val="10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% of Best E1RM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785967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Next-Day Feel &amp; 5-Session Rolling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"Next-Day Feel"</c:f>
              <c:strCache>
                <c:ptCount val="1"/>
                <c:pt idx="0">
                  <c:v>Next-Day Feel</c:v>
                </c:pt>
              </c:strCache>
            </c:strRef>
          </c:tx>
          <c:spPr>
            <a:solidFill>
              <a:srgbClr val="b0bec5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b0bec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_Data!$M$2:$M$51</c:f>
              <c:numCache>
                <c:formatCode>yyyy\-mm\-dd</c:formatCode>
                <c:ptCount val="50"/>
                <c:pt idx="0">
                  <c:v>46173</c:v>
                </c:pt>
                <c:pt idx="1">
                  <c:v>46170</c:v>
                </c:pt>
                <c:pt idx="2">
                  <c:v>46168</c:v>
                </c:pt>
                <c:pt idx="3">
                  <c:v>46166</c:v>
                </c:pt>
                <c:pt idx="4">
                  <c:v>46161</c:v>
                </c:pt>
                <c:pt idx="5">
                  <c:v>46158</c:v>
                </c:pt>
                <c:pt idx="6">
                  <c:v>46156</c:v>
                </c:pt>
                <c:pt idx="7">
                  <c:v>46154</c:v>
                </c:pt>
                <c:pt idx="8">
                  <c:v>46152</c:v>
                </c:pt>
                <c:pt idx="9">
                  <c:v>46151</c:v>
                </c:pt>
                <c:pt idx="10">
                  <c:v>46149</c:v>
                </c:pt>
                <c:pt idx="11">
                  <c:v>46146</c:v>
                </c:pt>
                <c:pt idx="12">
                  <c:v>46143</c:v>
                </c:pt>
                <c:pt idx="13">
                  <c:v>46142</c:v>
                </c:pt>
                <c:pt idx="14">
                  <c:v>46140</c:v>
                </c:pt>
                <c:pt idx="15">
                  <c:v>46136</c:v>
                </c:pt>
                <c:pt idx="16">
                  <c:v>46134</c:v>
                </c:pt>
                <c:pt idx="17">
                  <c:v>46133</c:v>
                </c:pt>
                <c:pt idx="18">
                  <c:v>46126</c:v>
                </c:pt>
              </c:numCache>
            </c:numRef>
          </c:xVal>
          <c:yVal>
            <c:numRef>
              <c:f>_Data!$N$2:$N$51</c:f>
              <c:numCache>
                <c:formatCode>0.0;;;</c:formatCode>
                <c:ptCount val="5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"Rolling 5-avg"</c:f>
              <c:strCache>
                <c:ptCount val="1"/>
                <c:pt idx="0">
                  <c:v>Rolling 5-avg</c:v>
                </c:pt>
              </c:strCache>
            </c:strRef>
          </c:tx>
          <c:spPr>
            <a:solidFill>
              <a:srgbClr val="1976d2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1976d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_Data!$M$2:$M$51</c:f>
              <c:numCache>
                <c:formatCode>yyyy\-mm\-dd</c:formatCode>
                <c:ptCount val="50"/>
                <c:pt idx="0">
                  <c:v>46173</c:v>
                </c:pt>
                <c:pt idx="1">
                  <c:v>46170</c:v>
                </c:pt>
                <c:pt idx="2">
                  <c:v>46168</c:v>
                </c:pt>
                <c:pt idx="3">
                  <c:v>46166</c:v>
                </c:pt>
                <c:pt idx="4">
                  <c:v>46161</c:v>
                </c:pt>
                <c:pt idx="5">
                  <c:v>46158</c:v>
                </c:pt>
                <c:pt idx="6">
                  <c:v>46156</c:v>
                </c:pt>
                <c:pt idx="7">
                  <c:v>46154</c:v>
                </c:pt>
                <c:pt idx="8">
                  <c:v>46152</c:v>
                </c:pt>
                <c:pt idx="9">
                  <c:v>46151</c:v>
                </c:pt>
                <c:pt idx="10">
                  <c:v>46149</c:v>
                </c:pt>
                <c:pt idx="11">
                  <c:v>46146</c:v>
                </c:pt>
                <c:pt idx="12">
                  <c:v>46143</c:v>
                </c:pt>
                <c:pt idx="13">
                  <c:v>46142</c:v>
                </c:pt>
                <c:pt idx="14">
                  <c:v>46140</c:v>
                </c:pt>
                <c:pt idx="15">
                  <c:v>46136</c:v>
                </c:pt>
                <c:pt idx="16">
                  <c:v>46134</c:v>
                </c:pt>
                <c:pt idx="17">
                  <c:v>46133</c:v>
                </c:pt>
                <c:pt idx="18">
                  <c:v>46126</c:v>
                </c:pt>
              </c:numCache>
            </c:numRef>
          </c:xVal>
          <c:yVal>
            <c:numRef>
              <c:f>_Data!$O$2:$O$51</c:f>
              <c:numCache>
                <c:formatCode>0.00;;;</c:formatCode>
                <c:ptCount val="50"/>
                <c:pt idx="0">
                  <c:v>3.2</c:v>
                </c:pt>
                <c:pt idx="1">
                  <c:v>3.2</c:v>
                </c:pt>
                <c:pt idx="2">
                  <c:v>3.4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2.8</c:v>
                </c:pt>
                <c:pt idx="7">
                  <c:v>2.4</c:v>
                </c:pt>
                <c:pt idx="8">
                  <c:v>2.4</c:v>
                </c:pt>
                <c:pt idx="9">
                  <c:v>2.4</c:v>
                </c:pt>
                <c:pt idx="10">
                  <c:v>2.2</c:v>
                </c:pt>
                <c:pt idx="11">
                  <c:v>2.2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  <c:pt idx="15">
                  <c:v>2.5</c:v>
                </c:pt>
                <c:pt idx="16">
                  <c:v>2.66666666666667</c:v>
                </c:pt>
              </c:numCache>
            </c:numRef>
          </c:yVal>
          <c:smooth val="1"/>
        </c:ser>
        <c:axId val="14616659"/>
        <c:axId val="48237833"/>
      </c:scatterChart>
      <c:valAx>
        <c:axId val="14616659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dd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237833"/>
        <c:crosses val="autoZero"/>
        <c:crossBetween val="midCat"/>
      </c:valAx>
      <c:valAx>
        <c:axId val="48237833"/>
        <c:scaling>
          <c:orientation val="minMax"/>
          <c:max val="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Feel (1=fresh, 5=sharp pain)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;;;@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61665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Yielding Max Hang Load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"Load (kg)"</c:f>
              <c:strCache>
                <c:ptCount val="1"/>
                <c:pt idx="0">
                  <c:v>Load (kg)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Progression!$E$6:$E$65</c:f>
              <c:numCache>
                <c:formatCode>0.##;;;</c:formatCode>
                <c:ptCount val="60"/>
                <c:pt idx="0">
                  <c:v>20</c:v>
                </c:pt>
                <c:pt idx="1">
                  <c:v>25</c:v>
                </c:pt>
                <c:pt idx="2">
                  <c:v>25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15</c:v>
                </c:pt>
                <c:pt idx="7">
                  <c:v>25</c:v>
                </c:pt>
                <c:pt idx="8">
                  <c:v>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276181"/>
        <c:axId val="78700165"/>
      </c:lineChart>
      <c:catAx>
        <c:axId val="412761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Session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700165"/>
        <c:crosses val="autoZero"/>
        <c:auto val="1"/>
        <c:lblAlgn val="ctr"/>
        <c:lblOffset val="100"/>
        <c:noMultiLvlLbl val="0"/>
      </c:catAx>
      <c:valAx>
        <c:axId val="7870016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Load added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12761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7</xdr:col>
      <xdr:colOff>681120</xdr:colOff>
      <xdr:row>24</xdr:row>
      <xdr:rowOff>27360</xdr:rowOff>
    </xdr:to>
    <xdr:graphicFrame>
      <xdr:nvGraphicFramePr>
        <xdr:cNvPr id="0" name="Chart 1"/>
        <xdr:cNvGraphicFramePr/>
      </xdr:nvGraphicFramePr>
      <xdr:xfrm>
        <a:off x="0" y="1685880"/>
        <a:ext cx="6742800" cy="349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681120</xdr:colOff>
      <xdr:row>44</xdr:row>
      <xdr:rowOff>160920</xdr:rowOff>
    </xdr:to>
    <xdr:graphicFrame>
      <xdr:nvGraphicFramePr>
        <xdr:cNvPr id="1" name="Chart 2"/>
        <xdr:cNvGraphicFramePr/>
      </xdr:nvGraphicFramePr>
      <xdr:xfrm>
        <a:off x="0" y="6124680"/>
        <a:ext cx="6742800" cy="336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7</xdr:col>
      <xdr:colOff>681120</xdr:colOff>
      <xdr:row>66</xdr:row>
      <xdr:rowOff>170280</xdr:rowOff>
    </xdr:to>
    <xdr:graphicFrame>
      <xdr:nvGraphicFramePr>
        <xdr:cNvPr id="2" name="Chart 3"/>
        <xdr:cNvGraphicFramePr/>
      </xdr:nvGraphicFramePr>
      <xdr:xfrm>
        <a:off x="0" y="10696680"/>
        <a:ext cx="6742800" cy="337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76320</xdr:rowOff>
    </xdr:from>
    <xdr:to>
      <xdr:col>13</xdr:col>
      <xdr:colOff>362880</xdr:colOff>
      <xdr:row>22</xdr:row>
      <xdr:rowOff>27720</xdr:rowOff>
    </xdr:to>
    <xdr:graphicFrame>
      <xdr:nvGraphicFramePr>
        <xdr:cNvPr id="3" name="Chart 1"/>
        <xdr:cNvGraphicFramePr/>
      </xdr:nvGraphicFramePr>
      <xdr:xfrm>
        <a:off x="7048440" y="486000"/>
        <a:ext cx="8228520" cy="397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8"/>
    <col collapsed="false" customWidth="true" hidden="false" outlineLevel="0" max="6" min="6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/>
    <row r="4" customFormat="false" ht="15" hidden="false" customHeight="true" outlineLevel="0" collapsed="false">
      <c r="A4" s="4" t="s">
        <v>2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6" t="s">
        <v>3</v>
      </c>
      <c r="B5" s="6"/>
      <c r="C5" s="7" t="s">
        <v>4</v>
      </c>
      <c r="D5" s="7"/>
      <c r="E5" s="7"/>
      <c r="F5" s="7"/>
    </row>
    <row r="6" customFormat="false" ht="15" hidden="false" customHeight="true" outlineLevel="0" collapsed="false">
      <c r="A6" s="6" t="s">
        <v>5</v>
      </c>
      <c r="B6" s="6"/>
      <c r="C6" s="7" t="s">
        <v>6</v>
      </c>
      <c r="D6" s="7"/>
      <c r="E6" s="7"/>
      <c r="F6" s="7"/>
    </row>
    <row r="7" customFormat="false" ht="15" hidden="false" customHeight="true" outlineLevel="0" collapsed="false">
      <c r="A7" s="6" t="s">
        <v>7</v>
      </c>
      <c r="B7" s="6"/>
      <c r="C7" s="7" t="s">
        <v>8</v>
      </c>
      <c r="D7" s="7"/>
      <c r="E7" s="7"/>
      <c r="F7" s="7"/>
    </row>
    <row r="8" customFormat="false" ht="15" hidden="false" customHeight="true" outlineLevel="0" collapsed="false">
      <c r="A8" s="6" t="s">
        <v>9</v>
      </c>
      <c r="B8" s="6"/>
      <c r="C8" s="7" t="s">
        <v>10</v>
      </c>
      <c r="D8" s="7"/>
      <c r="E8" s="7"/>
      <c r="F8" s="7"/>
    </row>
    <row r="9" customFormat="false" ht="15" hidden="false" customHeight="true" outlineLevel="0" collapsed="false">
      <c r="A9" s="6" t="s">
        <v>11</v>
      </c>
      <c r="B9" s="6"/>
      <c r="C9" s="7" t="s">
        <v>12</v>
      </c>
      <c r="D9" s="7"/>
      <c r="E9" s="7"/>
      <c r="F9" s="7"/>
    </row>
    <row r="10" customFormat="false" ht="15" hidden="false" customHeight="true" outlineLevel="0" collapsed="false">
      <c r="A10" s="6" t="s">
        <v>13</v>
      </c>
      <c r="B10" s="6"/>
      <c r="C10" s="7" t="s">
        <v>14</v>
      </c>
      <c r="D10" s="7"/>
      <c r="E10" s="7"/>
      <c r="F10" s="7"/>
    </row>
    <row r="11" customFormat="false" ht="15" hidden="false" customHeight="true" outlineLevel="0" collapsed="false">
      <c r="A11" s="6" t="s">
        <v>15</v>
      </c>
      <c r="B11" s="6"/>
      <c r="C11" s="7" t="s">
        <v>16</v>
      </c>
      <c r="D11" s="7"/>
      <c r="E11" s="7"/>
      <c r="F11" s="7"/>
    </row>
    <row r="12" customFormat="false" ht="15" hidden="false" customHeight="true" outlineLevel="0" collapsed="false">
      <c r="A12" s="6" t="s">
        <v>17</v>
      </c>
      <c r="B12" s="6"/>
      <c r="C12" s="7" t="s">
        <v>18</v>
      </c>
      <c r="D12" s="7"/>
      <c r="E12" s="7"/>
      <c r="F12" s="7"/>
    </row>
    <row r="13" customFormat="false" ht="15" hidden="false" customHeight="true" outlineLevel="0" collapsed="false"/>
    <row r="14" customFormat="false" ht="15" hidden="false" customHeight="true" outlineLevel="0" collapsed="false">
      <c r="A14" s="8" t="s">
        <v>19</v>
      </c>
      <c r="B14" s="8"/>
      <c r="C14" s="8"/>
      <c r="D14" s="8"/>
      <c r="E14" s="8"/>
      <c r="F14" s="8"/>
    </row>
    <row r="15" customFormat="false" ht="21.75" hidden="false" customHeight="true" outlineLevel="0" collapsed="false">
      <c r="A15" s="9" t="s">
        <v>20</v>
      </c>
      <c r="B15" s="9" t="s">
        <v>21</v>
      </c>
      <c r="C15" s="9" t="s">
        <v>22</v>
      </c>
      <c r="D15" s="9" t="s">
        <v>23</v>
      </c>
      <c r="E15" s="9" t="s">
        <v>24</v>
      </c>
      <c r="F15" s="9" t="s">
        <v>25</v>
      </c>
    </row>
    <row r="16" customFormat="false" ht="33.75" hidden="false" customHeight="true" outlineLevel="0" collapsed="false">
      <c r="A16" s="10" t="s">
        <v>26</v>
      </c>
      <c r="B16" s="11" t="s">
        <v>27</v>
      </c>
      <c r="C16" s="12" t="s">
        <v>28</v>
      </c>
      <c r="D16" s="11" t="s">
        <v>29</v>
      </c>
      <c r="E16" s="11" t="s">
        <v>30</v>
      </c>
      <c r="F16" s="11" t="s">
        <v>31</v>
      </c>
    </row>
    <row r="17" customFormat="false" ht="33.75" hidden="false" customHeight="true" outlineLevel="0" collapsed="false">
      <c r="A17" s="10" t="s">
        <v>32</v>
      </c>
      <c r="B17" s="11" t="s">
        <v>33</v>
      </c>
      <c r="C17" s="12" t="s">
        <v>34</v>
      </c>
      <c r="D17" s="11" t="s">
        <v>35</v>
      </c>
      <c r="E17" s="11" t="s">
        <v>30</v>
      </c>
      <c r="F17" s="11" t="s">
        <v>31</v>
      </c>
    </row>
    <row r="18" customFormat="false" ht="33.75" hidden="false" customHeight="true" outlineLevel="0" collapsed="false">
      <c r="A18" s="10" t="s">
        <v>36</v>
      </c>
      <c r="B18" s="11" t="s">
        <v>37</v>
      </c>
      <c r="C18" s="12" t="s">
        <v>38</v>
      </c>
      <c r="D18" s="11" t="s">
        <v>39</v>
      </c>
      <c r="E18" s="11" t="s">
        <v>30</v>
      </c>
      <c r="F18" s="11" t="s">
        <v>31</v>
      </c>
    </row>
    <row r="19" customFormat="false" ht="33.75" hidden="false" customHeight="true" outlineLevel="0" collapsed="false">
      <c r="A19" s="10" t="s">
        <v>40</v>
      </c>
      <c r="B19" s="11" t="s">
        <v>41</v>
      </c>
      <c r="C19" s="12" t="s">
        <v>42</v>
      </c>
      <c r="D19" s="11" t="s">
        <v>43</v>
      </c>
      <c r="E19" s="11" t="s">
        <v>44</v>
      </c>
      <c r="F19" s="11" t="s">
        <v>45</v>
      </c>
    </row>
    <row r="20" customFormat="false" ht="33.75" hidden="false" customHeight="true" outlineLevel="0" collapsed="false">
      <c r="A20" s="13" t="s">
        <v>46</v>
      </c>
      <c r="B20" s="14" t="s">
        <v>47</v>
      </c>
      <c r="C20" s="15" t="s">
        <v>48</v>
      </c>
      <c r="D20" s="14" t="s">
        <v>49</v>
      </c>
      <c r="E20" s="14" t="s">
        <v>50</v>
      </c>
      <c r="F20" s="14" t="s">
        <v>51</v>
      </c>
    </row>
    <row r="21" customFormat="false" ht="33.75" hidden="false" customHeight="true" outlineLevel="0" collapsed="false">
      <c r="A21" s="10" t="s">
        <v>52</v>
      </c>
      <c r="B21" s="11" t="s">
        <v>53</v>
      </c>
      <c r="C21" s="12" t="s">
        <v>54</v>
      </c>
      <c r="D21" s="11" t="s">
        <v>55</v>
      </c>
      <c r="E21" s="11" t="s">
        <v>56</v>
      </c>
      <c r="F21" s="11" t="s">
        <v>57</v>
      </c>
    </row>
    <row r="22" customFormat="false" ht="33.75" hidden="false" customHeight="true" outlineLevel="0" collapsed="false">
      <c r="A22" s="10" t="s">
        <v>58</v>
      </c>
      <c r="B22" s="11" t="s">
        <v>59</v>
      </c>
      <c r="C22" s="12" t="s">
        <v>60</v>
      </c>
      <c r="D22" s="11" t="s">
        <v>61</v>
      </c>
      <c r="E22" s="11" t="s">
        <v>56</v>
      </c>
      <c r="F22" s="11" t="s">
        <v>57</v>
      </c>
    </row>
    <row r="23" customFormat="false" ht="33.75" hidden="false" customHeight="true" outlineLevel="0" collapsed="false">
      <c r="A23" s="10" t="s">
        <v>62</v>
      </c>
      <c r="B23" s="11" t="s">
        <v>63</v>
      </c>
      <c r="C23" s="12" t="s">
        <v>64</v>
      </c>
      <c r="D23" s="11" t="s">
        <v>61</v>
      </c>
      <c r="E23" s="11" t="s">
        <v>56</v>
      </c>
      <c r="F23" s="11" t="s">
        <v>57</v>
      </c>
    </row>
    <row r="24" customFormat="false" ht="33.75" hidden="false" customHeight="true" outlineLevel="0" collapsed="false">
      <c r="A24" s="10" t="s">
        <v>65</v>
      </c>
      <c r="B24" s="11" t="s">
        <v>66</v>
      </c>
      <c r="C24" s="12" t="s">
        <v>67</v>
      </c>
      <c r="D24" s="11" t="s">
        <v>68</v>
      </c>
      <c r="E24" s="11" t="s">
        <v>56</v>
      </c>
      <c r="F24" s="11" t="s">
        <v>57</v>
      </c>
    </row>
    <row r="25" customFormat="false" ht="33.75" hidden="false" customHeight="true" outlineLevel="0" collapsed="false">
      <c r="A25" s="13" t="s">
        <v>69</v>
      </c>
      <c r="B25" s="14" t="s">
        <v>70</v>
      </c>
      <c r="C25" s="15" t="s">
        <v>48</v>
      </c>
      <c r="D25" s="14" t="s">
        <v>49</v>
      </c>
      <c r="E25" s="14" t="s">
        <v>50</v>
      </c>
      <c r="F25" s="14" t="s">
        <v>51</v>
      </c>
    </row>
    <row r="26" customFormat="false" ht="33.75" hidden="false" customHeight="true" outlineLevel="0" collapsed="false">
      <c r="A26" s="10" t="s">
        <v>71</v>
      </c>
      <c r="B26" s="11" t="s">
        <v>72</v>
      </c>
      <c r="C26" s="12" t="s">
        <v>73</v>
      </c>
      <c r="D26" s="11" t="s">
        <v>74</v>
      </c>
      <c r="E26" s="11" t="s">
        <v>75</v>
      </c>
      <c r="F26" s="11" t="s">
        <v>57</v>
      </c>
    </row>
    <row r="27" customFormat="false" ht="33.75" hidden="false" customHeight="true" outlineLevel="0" collapsed="false">
      <c r="A27" s="10" t="s">
        <v>76</v>
      </c>
      <c r="B27" s="11" t="s">
        <v>77</v>
      </c>
      <c r="C27" s="12" t="s">
        <v>78</v>
      </c>
      <c r="D27" s="11" t="s">
        <v>79</v>
      </c>
      <c r="E27" s="11" t="s">
        <v>75</v>
      </c>
      <c r="F27" s="11" t="s">
        <v>57</v>
      </c>
    </row>
    <row r="28" customFormat="false" ht="33.75" hidden="false" customHeight="true" outlineLevel="0" collapsed="false">
      <c r="A28" s="10" t="s">
        <v>80</v>
      </c>
      <c r="B28" s="11" t="s">
        <v>81</v>
      </c>
      <c r="C28" s="12" t="s">
        <v>82</v>
      </c>
      <c r="D28" s="11" t="s">
        <v>83</v>
      </c>
      <c r="E28" s="11" t="s">
        <v>75</v>
      </c>
      <c r="F28" s="11" t="s">
        <v>57</v>
      </c>
    </row>
    <row r="29" customFormat="false" ht="33.75" hidden="false" customHeight="true" outlineLevel="0" collapsed="false">
      <c r="A29" s="10" t="s">
        <v>84</v>
      </c>
      <c r="B29" s="11" t="s">
        <v>85</v>
      </c>
      <c r="C29" s="12" t="s">
        <v>86</v>
      </c>
      <c r="D29" s="11" t="s">
        <v>87</v>
      </c>
      <c r="E29" s="11" t="s">
        <v>75</v>
      </c>
      <c r="F29" s="11" t="s">
        <v>57</v>
      </c>
    </row>
    <row r="30" customFormat="false" ht="33.75" hidden="false" customHeight="true" outlineLevel="0" collapsed="false">
      <c r="A30" s="13" t="s">
        <v>88</v>
      </c>
      <c r="B30" s="14" t="s">
        <v>89</v>
      </c>
      <c r="C30" s="15" t="s">
        <v>90</v>
      </c>
      <c r="D30" s="14" t="s">
        <v>91</v>
      </c>
      <c r="E30" s="14" t="s">
        <v>50</v>
      </c>
      <c r="F30" s="14" t="s">
        <v>51</v>
      </c>
    </row>
    <row r="31" customFormat="false" ht="33.75" hidden="false" customHeight="true" outlineLevel="0" collapsed="false">
      <c r="A31" s="16" t="s">
        <v>92</v>
      </c>
      <c r="B31" s="17" t="s">
        <v>93</v>
      </c>
      <c r="C31" s="18" t="s">
        <v>94</v>
      </c>
      <c r="D31" s="17" t="s">
        <v>95</v>
      </c>
      <c r="E31" s="17" t="s">
        <v>96</v>
      </c>
      <c r="F31" s="17" t="s">
        <v>57</v>
      </c>
    </row>
    <row r="32" customFormat="false" ht="15.75" hidden="false" customHeight="true" outlineLevel="0" collapsed="false"/>
    <row r="33" customFormat="false" ht="15" hidden="false" customHeight="true" outlineLevel="0" collapsed="false">
      <c r="A33" s="8" t="s">
        <v>97</v>
      </c>
      <c r="B33" s="8"/>
      <c r="C33" s="8"/>
      <c r="D33" s="8"/>
      <c r="E33" s="8"/>
      <c r="F33" s="8"/>
    </row>
    <row r="34" customFormat="false" ht="37.5" hidden="false" customHeight="true" outlineLevel="0" collapsed="false">
      <c r="A34" s="19" t="s">
        <v>98</v>
      </c>
      <c r="B34" s="19"/>
      <c r="C34" s="20" t="s">
        <v>99</v>
      </c>
      <c r="D34" s="20"/>
      <c r="E34" s="20"/>
      <c r="F34" s="20"/>
    </row>
    <row r="35" customFormat="false" ht="37.5" hidden="false" customHeight="true" outlineLevel="0" collapsed="false">
      <c r="A35" s="19" t="s">
        <v>100</v>
      </c>
      <c r="B35" s="19"/>
      <c r="C35" s="20" t="s">
        <v>101</v>
      </c>
      <c r="D35" s="20"/>
      <c r="E35" s="20"/>
      <c r="F35" s="20"/>
    </row>
    <row r="36" customFormat="false" ht="37.5" hidden="false" customHeight="true" outlineLevel="0" collapsed="false">
      <c r="A36" s="19" t="s">
        <v>102</v>
      </c>
      <c r="B36" s="19"/>
      <c r="C36" s="20" t="s">
        <v>103</v>
      </c>
      <c r="D36" s="20"/>
      <c r="E36" s="20"/>
      <c r="F36" s="20"/>
    </row>
    <row r="37" customFormat="false" ht="37.5" hidden="false" customHeight="true" outlineLevel="0" collapsed="false">
      <c r="A37" s="19" t="s">
        <v>104</v>
      </c>
      <c r="B37" s="19"/>
      <c r="C37" s="20" t="s">
        <v>105</v>
      </c>
      <c r="D37" s="20"/>
      <c r="E37" s="20"/>
      <c r="F37" s="20"/>
    </row>
    <row r="38" customFormat="false" ht="37.5" hidden="false" customHeight="true" outlineLevel="0" collapsed="false">
      <c r="A38" s="19" t="s">
        <v>106</v>
      </c>
      <c r="B38" s="19"/>
      <c r="C38" s="20" t="s">
        <v>107</v>
      </c>
      <c r="D38" s="20"/>
      <c r="E38" s="20"/>
      <c r="F38" s="20"/>
    </row>
    <row r="39" customFormat="false" ht="37.5" hidden="false" customHeight="true" outlineLevel="0" collapsed="false">
      <c r="A39" s="19" t="s">
        <v>108</v>
      </c>
      <c r="B39" s="19"/>
      <c r="C39" s="20" t="s">
        <v>109</v>
      </c>
      <c r="D39" s="20"/>
      <c r="E39" s="20"/>
      <c r="F39" s="20"/>
    </row>
    <row r="40" customFormat="false" ht="15.75" hidden="false" customHeight="true" outlineLevel="0" collapsed="false"/>
    <row r="41" customFormat="false" ht="15" hidden="false" customHeight="true" outlineLevel="0" collapsed="false">
      <c r="A41" s="8" t="s">
        <v>110</v>
      </c>
      <c r="B41" s="8"/>
      <c r="C41" s="8"/>
      <c r="D41" s="8"/>
      <c r="E41" s="8"/>
      <c r="F41" s="8"/>
    </row>
    <row r="42" customFormat="false" ht="15" hidden="false" customHeight="true" outlineLevel="0" collapsed="false">
      <c r="A42" s="21"/>
      <c r="B42" s="22" t="s">
        <v>111</v>
      </c>
      <c r="C42" s="22"/>
      <c r="D42" s="22"/>
      <c r="E42" s="22"/>
      <c r="F42" s="22"/>
    </row>
    <row r="43" customFormat="false" ht="15" hidden="false" customHeight="true" outlineLevel="0" collapsed="false">
      <c r="A43" s="23"/>
      <c r="B43" s="22" t="s">
        <v>112</v>
      </c>
      <c r="C43" s="22"/>
      <c r="D43" s="22"/>
      <c r="E43" s="22"/>
      <c r="F43" s="22"/>
    </row>
    <row r="44" customFormat="false" ht="15" hidden="false" customHeight="true" outlineLevel="0" collapsed="false">
      <c r="B44" s="24"/>
      <c r="C44" s="24"/>
      <c r="D44" s="24"/>
      <c r="E44" s="24"/>
      <c r="F44" s="24"/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6">
    <mergeCell ref="A1:F1"/>
    <mergeCell ref="A2:F2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4:F14"/>
    <mergeCell ref="A33:F33"/>
    <mergeCell ref="A34:B34"/>
    <mergeCell ref="C34:F34"/>
    <mergeCell ref="A35:B35"/>
    <mergeCell ref="C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1:F41"/>
    <mergeCell ref="B42:F42"/>
    <mergeCell ref="B43:F43"/>
    <mergeCell ref="B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B13" activeCellId="0" sqref="B1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5" min="3" style="1" width="18"/>
    <col collapsed="false" customWidth="true" hidden="false" outlineLevel="0" max="6" min="6" style="1" width="22"/>
    <col collapsed="false" customWidth="true" hidden="false" outlineLevel="0" max="8" min="7" style="1" width="18"/>
  </cols>
  <sheetData>
    <row r="1" customFormat="false" ht="21.75" hidden="false" customHeight="true" outlineLevel="0" collapsed="false">
      <c r="A1" s="25" t="s">
        <v>113</v>
      </c>
      <c r="B1" s="25"/>
      <c r="C1" s="25"/>
      <c r="D1" s="25"/>
      <c r="E1" s="25"/>
      <c r="F1" s="25"/>
      <c r="G1" s="25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26" t="s">
        <v>114</v>
      </c>
      <c r="B2" s="26"/>
      <c r="C2" s="26"/>
      <c r="D2" s="26"/>
      <c r="E2" s="26"/>
      <c r="F2" s="26"/>
      <c r="G2" s="26"/>
      <c r="H2" s="2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27" t="s">
        <v>115</v>
      </c>
      <c r="B4" s="27"/>
      <c r="C4" s="2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7.25" hidden="false" customHeight="true" outlineLevel="0" collapsed="false">
      <c r="A5" s="28" t="s">
        <v>116</v>
      </c>
      <c r="B5" s="29" t="n">
        <v>25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" t="s">
        <v>117</v>
      </c>
      <c r="B6" s="30" t="s">
        <v>118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" t="s">
        <v>119</v>
      </c>
      <c r="B7" s="31" t="s">
        <v>120</v>
      </c>
      <c r="C7" s="31"/>
      <c r="D7" s="31"/>
      <c r="E7" s="31"/>
      <c r="F7" s="31"/>
      <c r="G7" s="31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26" t="s">
        <v>121</v>
      </c>
      <c r="B9" s="26"/>
      <c r="C9" s="26"/>
      <c r="D9" s="26"/>
      <c r="E9" s="26"/>
      <c r="F9" s="26"/>
      <c r="G9" s="26"/>
      <c r="H9" s="2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27" t="s">
        <v>122</v>
      </c>
      <c r="B11" s="27"/>
      <c r="C11" s="27"/>
      <c r="D11" s="2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32" t="s">
        <v>123</v>
      </c>
      <c r="B12" s="32" t="s">
        <v>124</v>
      </c>
      <c r="C12" s="32" t="s">
        <v>125</v>
      </c>
      <c r="D12" s="32" t="s">
        <v>126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33" t="s">
        <v>127</v>
      </c>
      <c r="B13" s="34" t="n">
        <v>0.7</v>
      </c>
      <c r="C13" s="35" t="n">
        <f aca="false">ROUND($B$5*0.7*2,0)/2</f>
        <v>17.5</v>
      </c>
      <c r="D13" s="36" t="s">
        <v>128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33" t="s">
        <v>129</v>
      </c>
      <c r="B14" s="34" t="n">
        <v>0.75</v>
      </c>
      <c r="C14" s="35" t="n">
        <f aca="false">ROUND($B$5*0.75*2,0)/2</f>
        <v>19</v>
      </c>
      <c r="D14" s="36" t="s">
        <v>130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33" t="s">
        <v>131</v>
      </c>
      <c r="B15" s="34" t="n">
        <v>0.85</v>
      </c>
      <c r="C15" s="35" t="n">
        <f aca="false">ROUND($B$5*(40+6*7)/97*2,0)/2</f>
        <v>21</v>
      </c>
      <c r="D15" s="36" t="s">
        <v>132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33" t="s">
        <v>133</v>
      </c>
      <c r="B16" s="34" t="n">
        <v>0.91</v>
      </c>
      <c r="C16" s="35" t="n">
        <f aca="false">ROUND($B$5*(40+6*8)/97*2,0)/2</f>
        <v>22.5</v>
      </c>
      <c r="D16" s="36" t="s">
        <v>134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33" t="s">
        <v>135</v>
      </c>
      <c r="B17" s="34" t="n">
        <v>0.94</v>
      </c>
      <c r="C17" s="35" t="n">
        <f aca="false">ROUND($B$5*(40+6*8.5)/97*2,0)/2</f>
        <v>23.5</v>
      </c>
      <c r="D17" s="36" t="s">
        <v>136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33" t="s">
        <v>137</v>
      </c>
      <c r="B18" s="34" t="n">
        <v>0.97</v>
      </c>
      <c r="C18" s="35" t="n">
        <f aca="false">ROUND($B$5*(40+6*9)/97*2,0)/2</f>
        <v>24</v>
      </c>
      <c r="D18" s="36" t="s">
        <v>138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33" t="s">
        <v>139</v>
      </c>
      <c r="B19" s="34" t="n">
        <v>1</v>
      </c>
      <c r="C19" s="35" t="n">
        <f aca="false">$B$5</f>
        <v>25</v>
      </c>
      <c r="D19" s="36" t="s">
        <v>140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27" t="s">
        <v>141</v>
      </c>
      <c r="B21" s="27"/>
      <c r="C21" s="27"/>
      <c r="D21" s="27"/>
      <c r="E21" s="27"/>
      <c r="F21" s="27"/>
      <c r="G21" s="27"/>
      <c r="H21" s="2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30" hidden="false" customHeight="true" outlineLevel="0" collapsed="false">
      <c r="A22" s="37" t="s">
        <v>142</v>
      </c>
      <c r="B22" s="37" t="s">
        <v>22</v>
      </c>
      <c r="C22" s="37" t="s">
        <v>143</v>
      </c>
      <c r="D22" s="37" t="s">
        <v>144</v>
      </c>
      <c r="E22" s="37" t="s">
        <v>145</v>
      </c>
      <c r="F22" s="37" t="s">
        <v>146</v>
      </c>
      <c r="G22" s="37" t="s">
        <v>147</v>
      </c>
      <c r="H22" s="37" t="s">
        <v>148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38" t="s">
        <v>26</v>
      </c>
      <c r="B23" s="33" t="s">
        <v>149</v>
      </c>
      <c r="C23" s="38" t="s">
        <v>150</v>
      </c>
      <c r="D23" s="35" t="n">
        <f aca="false">ROUND($B$5*(40+6*8.5)/97*2,0)/2</f>
        <v>23.5</v>
      </c>
      <c r="E23" s="39" t="n">
        <v>0.82</v>
      </c>
      <c r="F23" s="35" t="n">
        <f aca="false">ROUND(D23*0.82*2,0)/2</f>
        <v>19.5</v>
      </c>
      <c r="G23" s="39" t="n">
        <v>0.92</v>
      </c>
      <c r="H23" s="35" t="n">
        <f aca="false">ROUND(D23*0.92*2,0)/2</f>
        <v>21.5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38" t="s">
        <v>32</v>
      </c>
      <c r="B24" s="33" t="s">
        <v>151</v>
      </c>
      <c r="C24" s="38" t="s">
        <v>152</v>
      </c>
      <c r="D24" s="35" t="n">
        <f aca="false">ROUND($B$5*(40+6*8.75)/97*2,0)/2</f>
        <v>24</v>
      </c>
      <c r="E24" s="39" t="n">
        <v>0.83</v>
      </c>
      <c r="F24" s="35" t="n">
        <f aca="false">ROUND(D24*0.83*2,0)/2</f>
        <v>20</v>
      </c>
      <c r="G24" s="39" t="n">
        <v>0.93</v>
      </c>
      <c r="H24" s="35" t="n">
        <f aca="false">ROUND(D24*0.93*2,0)/2</f>
        <v>22.5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38" t="s">
        <v>36</v>
      </c>
      <c r="B25" s="33" t="s">
        <v>153</v>
      </c>
      <c r="C25" s="38" t="s">
        <v>154</v>
      </c>
      <c r="D25" s="35" t="n">
        <f aca="false">ROUND($B$5*(40+6*9)/97*2,0)/2</f>
        <v>24</v>
      </c>
      <c r="E25" s="39" t="n">
        <v>0.84</v>
      </c>
      <c r="F25" s="35" t="n">
        <f aca="false">ROUND(D25*0.84*2,0)/2</f>
        <v>20</v>
      </c>
      <c r="G25" s="39" t="n">
        <v>0.94</v>
      </c>
      <c r="H25" s="35" t="n">
        <f aca="false">ROUND(D25*0.94*2,0)/2</f>
        <v>22.5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38" t="s">
        <v>40</v>
      </c>
      <c r="B26" s="33" t="s">
        <v>155</v>
      </c>
      <c r="C26" s="38" t="s">
        <v>154</v>
      </c>
      <c r="D26" s="35" t="n">
        <f aca="false">ROUND($B$5*(40+6*9)/97*2,0)/2</f>
        <v>24</v>
      </c>
      <c r="E26" s="39" t="n">
        <v>0.85</v>
      </c>
      <c r="F26" s="35" t="n">
        <f aca="false">ROUND(D26*0.85*2,0)/2</f>
        <v>20.5</v>
      </c>
      <c r="G26" s="39" t="n">
        <v>0.95</v>
      </c>
      <c r="H26" s="35" t="n">
        <f aca="false">ROUND(D26*G26*2,0)/2</f>
        <v>23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40" t="s">
        <v>46</v>
      </c>
      <c r="B27" s="41" t="s">
        <v>156</v>
      </c>
      <c r="C27" s="40" t="s">
        <v>157</v>
      </c>
      <c r="D27" s="42" t="n">
        <f aca="false">ROUND($B$5*0.75*2,0)/2</f>
        <v>19</v>
      </c>
      <c r="E27" s="43" t="s">
        <v>158</v>
      </c>
      <c r="F27" s="44" t="n">
        <f aca="false">$B$5</f>
        <v>25</v>
      </c>
      <c r="G27" s="43" t="s">
        <v>159</v>
      </c>
      <c r="H27" s="43" t="s">
        <v>159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38" t="s">
        <v>52</v>
      </c>
      <c r="B28" s="33" t="s">
        <v>160</v>
      </c>
      <c r="C28" s="38" t="s">
        <v>161</v>
      </c>
      <c r="D28" s="35" t="n">
        <f aca="false">ROUND($B$5*(40+6*9.25)/97*2,0)/2</f>
        <v>24.5</v>
      </c>
      <c r="E28" s="39" t="n">
        <v>0.86</v>
      </c>
      <c r="F28" s="35" t="n">
        <f aca="false">ROUND(D28*0.86*2,0)/2</f>
        <v>21</v>
      </c>
      <c r="G28" s="39" t="n">
        <v>0.82</v>
      </c>
      <c r="H28" s="35" t="n">
        <f aca="false">ROUND(D28*G28*2,0)/2</f>
        <v>20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38" t="s">
        <v>58</v>
      </c>
      <c r="B29" s="33" t="s">
        <v>162</v>
      </c>
      <c r="C29" s="38" t="s">
        <v>161</v>
      </c>
      <c r="D29" s="35" t="n">
        <f aca="false">ROUND($B$5*(40+6*9.25)/97*2,0)/2</f>
        <v>24.5</v>
      </c>
      <c r="E29" s="39" t="n">
        <v>0.87</v>
      </c>
      <c r="F29" s="35" t="n">
        <f aca="false">ROUND(D29*0.87*2,0)/2</f>
        <v>21.5</v>
      </c>
      <c r="G29" s="39" t="n">
        <v>0.82</v>
      </c>
      <c r="H29" s="35" t="n">
        <f aca="false">ROUND(D29*G29*2,0)/2</f>
        <v>20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38" t="s">
        <v>62</v>
      </c>
      <c r="B30" s="33" t="s">
        <v>163</v>
      </c>
      <c r="C30" s="38" t="s">
        <v>161</v>
      </c>
      <c r="D30" s="35" t="n">
        <f aca="false">ROUND($B$5*(40+6*9.25)/97*2,0)/2</f>
        <v>24.5</v>
      </c>
      <c r="E30" s="39" t="n">
        <v>0.87</v>
      </c>
      <c r="F30" s="35" t="n">
        <f aca="false">ROUND(D30*0.87*2,0)/2</f>
        <v>21.5</v>
      </c>
      <c r="G30" s="39" t="n">
        <v>0.82</v>
      </c>
      <c r="H30" s="35" t="n">
        <f aca="false">ROUND(D30*G30*2,0)/2</f>
        <v>20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38" t="s">
        <v>65</v>
      </c>
      <c r="B31" s="33" t="s">
        <v>164</v>
      </c>
      <c r="C31" s="38" t="s">
        <v>161</v>
      </c>
      <c r="D31" s="35" t="n">
        <f aca="false">ROUND($B$5*(40+6*9.5)/97*2,0)/2</f>
        <v>25</v>
      </c>
      <c r="E31" s="39" t="n">
        <v>0.88</v>
      </c>
      <c r="F31" s="35" t="n">
        <f aca="false">ROUND(D31*0.88*2,0)/2</f>
        <v>22</v>
      </c>
      <c r="G31" s="39" t="n">
        <v>0.82</v>
      </c>
      <c r="H31" s="35" t="n">
        <f aca="false">ROUND(D31*G31*2,0)/2</f>
        <v>20.5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40" t="s">
        <v>69</v>
      </c>
      <c r="B32" s="41" t="s">
        <v>156</v>
      </c>
      <c r="C32" s="40" t="s">
        <v>157</v>
      </c>
      <c r="D32" s="42" t="n">
        <f aca="false">ROUND($B$5*0.75*2,0)/2</f>
        <v>19</v>
      </c>
      <c r="E32" s="43" t="s">
        <v>158</v>
      </c>
      <c r="F32" s="44" t="n">
        <f aca="false">$B$5</f>
        <v>25</v>
      </c>
      <c r="G32" s="43" t="s">
        <v>159</v>
      </c>
      <c r="H32" s="43" t="s">
        <v>159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38" t="s">
        <v>71</v>
      </c>
      <c r="B33" s="33" t="s">
        <v>73</v>
      </c>
      <c r="C33" s="38" t="s">
        <v>165</v>
      </c>
      <c r="D33" s="35" t="n">
        <f aca="false">ROUND($B$5*(40+6*9.5)/97*2,0)/2</f>
        <v>25</v>
      </c>
      <c r="E33" s="39" t="n">
        <v>0.8</v>
      </c>
      <c r="F33" s="35" t="n">
        <f aca="false">ROUND(D33*0.88*2,0)/2</f>
        <v>22</v>
      </c>
      <c r="G33" s="39" t="n">
        <v>0.82</v>
      </c>
      <c r="H33" s="35" t="n">
        <f aca="false">ROUND(D33*G33*2,0)/2</f>
        <v>20.5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38" t="s">
        <v>76</v>
      </c>
      <c r="B34" s="33" t="s">
        <v>78</v>
      </c>
      <c r="C34" s="38" t="s">
        <v>165</v>
      </c>
      <c r="D34" s="35" t="n">
        <f aca="false">ROUND($B$5*(40+6*9.5)/97*2,0)/2</f>
        <v>25</v>
      </c>
      <c r="E34" s="39" t="n">
        <v>0.8</v>
      </c>
      <c r="F34" s="35" t="n">
        <f aca="false">ROUND(D34*0.89*2,0)/2</f>
        <v>22.5</v>
      </c>
      <c r="G34" s="39" t="n">
        <v>0.82</v>
      </c>
      <c r="H34" s="35" t="n">
        <f aca="false">ROUND(D34*G34*2,0)/2</f>
        <v>20.5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38" t="s">
        <v>80</v>
      </c>
      <c r="B35" s="33" t="s">
        <v>82</v>
      </c>
      <c r="C35" s="38" t="s">
        <v>165</v>
      </c>
      <c r="D35" s="35" t="n">
        <f aca="false">ROUND($B$5*(40+6*9.5)/97*2,0)/2</f>
        <v>25</v>
      </c>
      <c r="E35" s="39" t="n">
        <v>0.81</v>
      </c>
      <c r="F35" s="35" t="n">
        <f aca="false">ROUND(D35*0.89*2,0)/2</f>
        <v>22.5</v>
      </c>
      <c r="G35" s="39" t="n">
        <v>0.82</v>
      </c>
      <c r="H35" s="35" t="n">
        <f aca="false">ROUND(D35*G35*2,0)/2</f>
        <v>20.5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38" t="s">
        <v>84</v>
      </c>
      <c r="B36" s="33" t="s">
        <v>86</v>
      </c>
      <c r="C36" s="38" t="s">
        <v>165</v>
      </c>
      <c r="D36" s="35" t="n">
        <f aca="false">ROUND($B$5*(40+6*9.5)/97*2,0)/2</f>
        <v>25</v>
      </c>
      <c r="E36" s="39" t="n">
        <v>0.82</v>
      </c>
      <c r="F36" s="35" t="n">
        <f aca="false">ROUND(D36*0.9*2,0)/2</f>
        <v>22.5</v>
      </c>
      <c r="G36" s="39" t="n">
        <v>0.82</v>
      </c>
      <c r="H36" s="35" t="n">
        <f aca="false">ROUND(D36*G36*2,0)/2</f>
        <v>20.5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40" t="s">
        <v>88</v>
      </c>
      <c r="B37" s="41" t="s">
        <v>166</v>
      </c>
      <c r="C37" s="40" t="s">
        <v>167</v>
      </c>
      <c r="D37" s="42" t="n">
        <f aca="false">ROUND($B$5*0.75*2,0)/2</f>
        <v>19</v>
      </c>
      <c r="E37" s="43" t="s">
        <v>158</v>
      </c>
      <c r="F37" s="44" t="n">
        <f aca="false">$B$5</f>
        <v>25</v>
      </c>
      <c r="G37" s="43" t="s">
        <v>159</v>
      </c>
      <c r="H37" s="43" t="s">
        <v>159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38" t="s">
        <v>92</v>
      </c>
      <c r="B38" s="33" t="s">
        <v>168</v>
      </c>
      <c r="C38" s="38" t="s">
        <v>169</v>
      </c>
      <c r="D38" s="35" t="n">
        <f aca="false">ROUND($B$5*(40+6*9)/97*2,0)/2</f>
        <v>24</v>
      </c>
      <c r="E38" s="39" t="n">
        <v>0.8</v>
      </c>
      <c r="F38" s="35" t="n">
        <f aca="false">ROUND(D38*0.8*2,0)/2</f>
        <v>19</v>
      </c>
      <c r="G38" s="45" t="s">
        <v>159</v>
      </c>
      <c r="H38" s="45" t="s">
        <v>159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27" t="s">
        <v>170</v>
      </c>
      <c r="B40" s="27"/>
      <c r="C40" s="27"/>
      <c r="D40" s="27"/>
      <c r="E40" s="27"/>
      <c r="F40" s="27"/>
      <c r="G40" s="27"/>
      <c r="H40" s="2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31.5" hidden="false" customHeight="true" outlineLevel="0" collapsed="false">
      <c r="A41" s="46" t="s">
        <v>171</v>
      </c>
      <c r="B41" s="46"/>
      <c r="C41" s="46"/>
      <c r="D41" s="46"/>
      <c r="E41" s="46"/>
      <c r="F41" s="46"/>
      <c r="G41" s="46"/>
      <c r="H41" s="4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1.5" hidden="false" customHeight="true" outlineLevel="0" collapsed="false">
      <c r="A42" s="46" t="s">
        <v>172</v>
      </c>
      <c r="B42" s="46"/>
      <c r="C42" s="46"/>
      <c r="D42" s="46"/>
      <c r="E42" s="46"/>
      <c r="F42" s="46"/>
      <c r="G42" s="46"/>
      <c r="H42" s="4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31.5" hidden="false" customHeight="true" outlineLevel="0" collapsed="false">
      <c r="A43" s="46" t="s">
        <v>173</v>
      </c>
      <c r="B43" s="46"/>
      <c r="C43" s="46"/>
      <c r="D43" s="46"/>
      <c r="E43" s="46"/>
      <c r="F43" s="46"/>
      <c r="G43" s="46"/>
      <c r="H43" s="4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31.5" hidden="false" customHeight="true" outlineLevel="0" collapsed="false">
      <c r="A44" s="46" t="s">
        <v>174</v>
      </c>
      <c r="B44" s="46"/>
      <c r="C44" s="46"/>
      <c r="D44" s="46"/>
      <c r="E44" s="46"/>
      <c r="F44" s="46"/>
      <c r="G44" s="46"/>
      <c r="H44" s="4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31.5" hidden="false" customHeight="true" outlineLevel="0" collapsed="false">
      <c r="A45" s="46" t="s">
        <v>175</v>
      </c>
      <c r="B45" s="46"/>
      <c r="C45" s="46"/>
      <c r="D45" s="46"/>
      <c r="E45" s="46"/>
      <c r="F45" s="46"/>
      <c r="G45" s="46"/>
      <c r="H45" s="4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31.5" hidden="false" customHeight="true" outlineLevel="0" collapsed="false">
      <c r="A46" s="46" t="s">
        <v>176</v>
      </c>
      <c r="B46" s="46"/>
      <c r="C46" s="46"/>
      <c r="D46" s="46"/>
      <c r="E46" s="46"/>
      <c r="F46" s="46"/>
      <c r="G46" s="46"/>
      <c r="H46" s="4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27" t="s">
        <v>177</v>
      </c>
      <c r="B48" s="27"/>
      <c r="C48" s="27"/>
      <c r="D48" s="27"/>
      <c r="E48" s="2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26" t="s">
        <v>178</v>
      </c>
      <c r="B49" s="26"/>
      <c r="C49" s="26"/>
      <c r="D49" s="26"/>
      <c r="E49" s="26"/>
      <c r="F49" s="26"/>
      <c r="G49" s="26"/>
      <c r="H49" s="2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32" t="s">
        <v>179</v>
      </c>
      <c r="B50" s="32" t="s">
        <v>116</v>
      </c>
      <c r="C50" s="32" t="s">
        <v>180</v>
      </c>
      <c r="D50" s="32" t="s">
        <v>119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38" t="s">
        <v>181</v>
      </c>
      <c r="B51" s="47" t="n">
        <v>25</v>
      </c>
      <c r="C51" s="38" t="s">
        <v>182</v>
      </c>
      <c r="D51" s="33" t="s">
        <v>183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38" t="s">
        <v>118</v>
      </c>
      <c r="B52" s="47" t="n">
        <v>22</v>
      </c>
      <c r="C52" s="38" t="s">
        <v>184</v>
      </c>
      <c r="D52" s="33" t="s">
        <v>185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48"/>
      <c r="B53" s="48"/>
      <c r="C53" s="48"/>
      <c r="D53" s="4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49" t="s">
        <v>186</v>
      </c>
      <c r="B54" s="48"/>
      <c r="C54" s="48"/>
      <c r="D54" s="4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48" t="s">
        <v>187</v>
      </c>
      <c r="B55" s="48"/>
      <c r="C55" s="48"/>
      <c r="D55" s="4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48" t="s">
        <v>188</v>
      </c>
      <c r="B56" s="50" t="s">
        <v>189</v>
      </c>
      <c r="C56" s="48"/>
      <c r="D56" s="4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48"/>
      <c r="B57" s="48"/>
      <c r="C57" s="48"/>
      <c r="D57" s="4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49" t="s">
        <v>190</v>
      </c>
      <c r="B58" s="48"/>
      <c r="C58" s="48"/>
      <c r="D58" s="4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49" t="s">
        <v>191</v>
      </c>
      <c r="B59" s="48" t="s">
        <v>192</v>
      </c>
      <c r="C59" s="48"/>
      <c r="D59" s="4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48"/>
      <c r="B60" s="48" t="s">
        <v>193</v>
      </c>
      <c r="C60" s="48"/>
      <c r="D60" s="4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B61" s="1" t="s">
        <v>194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B62" s="1" t="s">
        <v>195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51" t="s">
        <v>196</v>
      </c>
      <c r="B63" s="1" t="s">
        <v>197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51" t="s">
        <v>198</v>
      </c>
      <c r="B64" s="1" t="s">
        <v>199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51" t="s">
        <v>200</v>
      </c>
      <c r="B65" s="1" t="s">
        <v>201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51" t="s">
        <v>202</v>
      </c>
      <c r="B66" s="1" t="s">
        <v>203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 t="s">
        <v>204</v>
      </c>
      <c r="B68" s="1" t="s">
        <v>205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1:H1"/>
    <mergeCell ref="A2:H2"/>
    <mergeCell ref="A4:C4"/>
    <mergeCell ref="B7:H7"/>
    <mergeCell ref="A9:H9"/>
    <mergeCell ref="A11:D11"/>
    <mergeCell ref="A21:H21"/>
    <mergeCell ref="A40:H40"/>
    <mergeCell ref="A41:H41"/>
    <mergeCell ref="A42:H42"/>
    <mergeCell ref="A43:H43"/>
    <mergeCell ref="A44:H44"/>
    <mergeCell ref="A45:H45"/>
    <mergeCell ref="A46:H46"/>
    <mergeCell ref="A48:E48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8" min="7" style="1" width="11"/>
    <col collapsed="false" customWidth="true" hidden="false" outlineLevel="0" max="9" min="9" style="1" width="13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2" t="s">
        <v>206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52" t="s">
        <v>207</v>
      </c>
      <c r="B2" s="52"/>
      <c r="C2" s="52"/>
      <c r="D2" s="52"/>
      <c r="E2" s="52"/>
      <c r="F2" s="52"/>
      <c r="G2" s="52"/>
      <c r="H2" s="52"/>
      <c r="I2" s="52"/>
      <c r="J2" s="52"/>
    </row>
    <row r="3" customFormat="false" ht="15" hidden="false" customHeight="true" outlineLevel="0" collapsed="false"/>
    <row r="4" customFormat="false" ht="15" hidden="false" customHeight="true" outlineLevel="0" collapsed="false">
      <c r="A4" s="53" t="s">
        <v>208</v>
      </c>
      <c r="B4" s="53"/>
      <c r="C4" s="53"/>
      <c r="D4" s="53"/>
      <c r="E4" s="53"/>
      <c r="F4" s="53"/>
      <c r="G4" s="53"/>
      <c r="H4" s="53"/>
      <c r="I4" s="53"/>
      <c r="J4" s="53"/>
    </row>
    <row r="5" customFormat="false" ht="30" hidden="false" customHeight="true" outlineLevel="0" collapsed="false">
      <c r="A5" s="54" t="s">
        <v>209</v>
      </c>
      <c r="B5" s="54"/>
      <c r="C5" s="54"/>
      <c r="D5" s="54"/>
      <c r="E5" s="54"/>
      <c r="F5" s="54"/>
      <c r="G5" s="54"/>
      <c r="H5" s="54"/>
      <c r="I5" s="54"/>
      <c r="J5" s="54"/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" hidden="false" customHeight="true" outlineLevel="0" collapsed="false">
      <c r="A26" s="53" t="s">
        <v>210</v>
      </c>
      <c r="B26" s="53"/>
      <c r="C26" s="53"/>
      <c r="D26" s="53"/>
      <c r="E26" s="53"/>
      <c r="F26" s="53"/>
      <c r="G26" s="53"/>
      <c r="H26" s="53"/>
      <c r="I26" s="53"/>
      <c r="J26" s="53"/>
    </row>
    <row r="27" customFormat="false" ht="30" hidden="false" customHeight="true" outlineLevel="0" collapsed="false">
      <c r="A27" s="55" t="s">
        <v>211</v>
      </c>
      <c r="B27" s="55"/>
      <c r="C27" s="55"/>
      <c r="D27" s="55"/>
      <c r="E27" s="55"/>
      <c r="F27" s="55"/>
      <c r="G27" s="55"/>
      <c r="H27" s="55"/>
      <c r="I27" s="55"/>
      <c r="J27" s="55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" hidden="false" customHeight="true" outlineLevel="0" collapsed="false">
      <c r="A48" s="53" t="s">
        <v>212</v>
      </c>
      <c r="B48" s="53"/>
      <c r="C48" s="53"/>
      <c r="D48" s="53"/>
      <c r="E48" s="53"/>
      <c r="F48" s="53"/>
      <c r="G48" s="53"/>
      <c r="H48" s="53"/>
      <c r="I48" s="53"/>
      <c r="J48" s="53"/>
    </row>
    <row r="49" customFormat="false" ht="30" hidden="false" customHeight="true" outlineLevel="0" collapsed="false">
      <c r="A49" s="55" t="s">
        <v>213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" hidden="false" customHeight="true" outlineLevel="0" collapsed="false">
      <c r="A70" s="53" t="s">
        <v>214</v>
      </c>
      <c r="B70" s="53"/>
      <c r="C70" s="53"/>
      <c r="D70" s="53"/>
      <c r="E70" s="53"/>
      <c r="F70" s="53"/>
      <c r="G70" s="53"/>
      <c r="H70" s="53"/>
      <c r="I70" s="53"/>
      <c r="J70" s="53"/>
    </row>
    <row r="71" customFormat="false" ht="15" hidden="false" customHeight="true" outlineLevel="0" collapsed="false">
      <c r="A71" s="55" t="s">
        <v>215</v>
      </c>
      <c r="B71" s="55"/>
      <c r="C71" s="55"/>
      <c r="D71" s="55"/>
      <c r="E71" s="55"/>
      <c r="F71" s="55"/>
      <c r="G71" s="55"/>
      <c r="H71" s="55"/>
      <c r="I71" s="55"/>
      <c r="J71" s="55"/>
    </row>
    <row r="72" customFormat="false" ht="24" hidden="false" customHeight="true" outlineLevel="0" collapsed="false">
      <c r="A72" s="56" t="s">
        <v>20</v>
      </c>
      <c r="B72" s="56" t="s">
        <v>216</v>
      </c>
      <c r="C72" s="56" t="s">
        <v>217</v>
      </c>
      <c r="D72" s="56" t="s">
        <v>22</v>
      </c>
      <c r="E72" s="56" t="s">
        <v>218</v>
      </c>
      <c r="F72" s="56" t="s">
        <v>219</v>
      </c>
      <c r="G72" s="56" t="s">
        <v>220</v>
      </c>
      <c r="H72" s="56" t="s">
        <v>221</v>
      </c>
      <c r="I72" s="56" t="s">
        <v>222</v>
      </c>
      <c r="J72" s="56" t="s">
        <v>223</v>
      </c>
    </row>
    <row r="73" customFormat="false" ht="15" hidden="false" customHeight="true" outlineLevel="0" collapsed="false">
      <c r="A73" s="57" t="str">
        <f aca="false">IFERROR(_Data!A57,"")</f>
        <v>W1</v>
      </c>
      <c r="B73" s="58" t="n">
        <f aca="false">IFERROR(_Data!B57,"")</f>
        <v>46153</v>
      </c>
      <c r="C73" s="58" t="n">
        <f aca="false">IFERROR(_Data!C57,"")</f>
        <v>46159</v>
      </c>
      <c r="D73" s="59" t="str">
        <f aca="false">IFERROR(_Data!D57,"")</f>
        <v>Trans I 1/4</v>
      </c>
      <c r="E73" s="60" t="n">
        <f aca="false">IFERROR(_Data!E57,"")</f>
        <v>2</v>
      </c>
      <c r="F73" s="60" t="n">
        <f aca="false">IFERROR(_Data!F57,"")</f>
        <v>1</v>
      </c>
      <c r="G73" s="61" t="n">
        <f aca="false">IFERROR(_Data!G57,"")</f>
        <v>10</v>
      </c>
      <c r="H73" s="61" t="n">
        <f aca="false">IFERROR(_Data!H57,"")</f>
        <v>25</v>
      </c>
      <c r="I73" s="62" t="n">
        <f aca="false">IFERROR(_Data!I57,"")</f>
        <v>3</v>
      </c>
      <c r="J73" s="63" t="str">
        <f aca="false">IFERROR(_Data!J57,"")</f>
        <v/>
      </c>
    </row>
    <row r="74" customFormat="false" ht="15" hidden="false" customHeight="true" outlineLevel="0" collapsed="false">
      <c r="A74" s="57" t="str">
        <f aca="false">IFERROR(_Data!A58,"")</f>
        <v>W2</v>
      </c>
      <c r="B74" s="58" t="n">
        <f aca="false">IFERROR(_Data!B58,"")</f>
        <v>46160</v>
      </c>
      <c r="C74" s="58" t="n">
        <f aca="false">IFERROR(_Data!C58,"")</f>
        <v>46166</v>
      </c>
      <c r="D74" s="59" t="str">
        <f aca="false">IFERROR(_Data!D58,"")</f>
        <v>Trans I 2/4</v>
      </c>
      <c r="E74" s="60" t="n">
        <f aca="false">IFERROR(_Data!E58,"")</f>
        <v>1</v>
      </c>
      <c r="F74" s="60" t="n">
        <f aca="false">IFERROR(_Data!F58,"")</f>
        <v>1</v>
      </c>
      <c r="G74" s="61" t="n">
        <f aca="false">IFERROR(_Data!G58,"")</f>
        <v>10</v>
      </c>
      <c r="H74" s="61" t="n">
        <f aca="false">IFERROR(_Data!H58,"")</f>
        <v>25</v>
      </c>
      <c r="I74" s="62" t="n">
        <f aca="false">IFERROR(_Data!I58,"")</f>
        <v>3</v>
      </c>
      <c r="J74" s="63" t="str">
        <f aca="false">IFERROR(_Data!J58,"")</f>
        <v/>
      </c>
    </row>
    <row r="75" customFormat="false" ht="15" hidden="false" customHeight="true" outlineLevel="0" collapsed="false">
      <c r="A75" s="57" t="str">
        <f aca="false">IFERROR(_Data!A59,"")</f>
        <v>W3</v>
      </c>
      <c r="B75" s="58" t="n">
        <f aca="false">IFERROR(_Data!B59,"")</f>
        <v>46167</v>
      </c>
      <c r="C75" s="58" t="n">
        <f aca="false">IFERROR(_Data!C59,"")</f>
        <v>46173</v>
      </c>
      <c r="D75" s="59" t="str">
        <f aca="false">IFERROR(_Data!D59,"")</f>
        <v>Trans I 3/4</v>
      </c>
      <c r="E75" s="60" t="n">
        <f aca="false">IFERROR(_Data!E59,"")</f>
        <v>2</v>
      </c>
      <c r="F75" s="60" t="n">
        <f aca="false">IFERROR(_Data!F59,"")</f>
        <v>1</v>
      </c>
      <c r="G75" s="61" t="n">
        <f aca="false">IFERROR(_Data!G59,"")</f>
        <v>8</v>
      </c>
      <c r="H75" s="61" t="n">
        <f aca="false">IFERROR(_Data!H59,"")</f>
        <v>26.6</v>
      </c>
      <c r="I75" s="62" t="n">
        <f aca="false">IFERROR(_Data!I59,"")</f>
        <v>3.33333333333333</v>
      </c>
      <c r="J75" s="63" t="str">
        <f aca="false">IFERROR(_Data!J59,"")</f>
        <v>RECOVERY FLAG</v>
      </c>
    </row>
    <row r="76" customFormat="false" ht="15" hidden="false" customHeight="true" outlineLevel="0" collapsed="false">
      <c r="A76" s="57" t="str">
        <f aca="false">IFERROR(_Data!A60,"")</f>
        <v>W4</v>
      </c>
      <c r="B76" s="58" t="n">
        <f aca="false">IFERROR(_Data!B60,"")</f>
        <v>46174</v>
      </c>
      <c r="C76" s="58" t="n">
        <f aca="false">IFERROR(_Data!C60,"")</f>
        <v>46180</v>
      </c>
      <c r="D76" s="59" t="str">
        <f aca="false">IFERROR(_Data!D60,"")</f>
        <v>Trans I 4/4</v>
      </c>
      <c r="E76" s="60" t="n">
        <f aca="false">IFERROR(_Data!E60,"")</f>
        <v>0</v>
      </c>
      <c r="F76" s="60" t="n">
        <f aca="false">IFERROR(_Data!F60,"")</f>
        <v>0</v>
      </c>
      <c r="G76" s="61" t="str">
        <f aca="false">IFERROR(_Data!G60,"")</f>
        <v/>
      </c>
      <c r="H76" s="61" t="n">
        <f aca="false">IFERROR(_Data!H60,"")</f>
        <v>0</v>
      </c>
      <c r="I76" s="62" t="str">
        <f aca="false">IFERROR(_Data!I60,"")</f>
        <v/>
      </c>
      <c r="J76" s="63" t="str">
        <f aca="false">IFERROR(_Data!J60,"")</f>
        <v/>
      </c>
    </row>
    <row r="77" customFormat="false" ht="15" hidden="false" customHeight="true" outlineLevel="0" collapsed="false">
      <c r="A77" s="57" t="str">
        <f aca="false">IFERROR(_Data!A61,"")</f>
        <v>W5</v>
      </c>
      <c r="B77" s="58" t="n">
        <f aca="false">IFERROR(_Data!B61,"")</f>
        <v>46181</v>
      </c>
      <c r="C77" s="58" t="n">
        <f aca="false">IFERROR(_Data!C61,"")</f>
        <v>46187</v>
      </c>
      <c r="D77" s="59" t="str">
        <f aca="false">IFERROR(_Data!D61,"")</f>
        <v>Deload + Test</v>
      </c>
      <c r="E77" s="60" t="n">
        <f aca="false">IFERROR(_Data!E61,"")</f>
        <v>0</v>
      </c>
      <c r="F77" s="60" t="n">
        <f aca="false">IFERROR(_Data!F61,"")</f>
        <v>0</v>
      </c>
      <c r="G77" s="61" t="str">
        <f aca="false">IFERROR(_Data!G61,"")</f>
        <v/>
      </c>
      <c r="H77" s="61" t="n">
        <f aca="false">IFERROR(_Data!H61,"")</f>
        <v>0</v>
      </c>
      <c r="I77" s="62" t="str">
        <f aca="false">IFERROR(_Data!I61,"")</f>
        <v/>
      </c>
      <c r="J77" s="63" t="str">
        <f aca="false">IFERROR(_Data!J61,"")</f>
        <v>TEST</v>
      </c>
    </row>
    <row r="78" customFormat="false" ht="15" hidden="false" customHeight="true" outlineLevel="0" collapsed="false">
      <c r="A78" s="57" t="str">
        <f aca="false">IFERROR(_Data!A62,"")</f>
        <v>W6</v>
      </c>
      <c r="B78" s="58" t="n">
        <f aca="false">IFERROR(_Data!B62,"")</f>
        <v>46188</v>
      </c>
      <c r="C78" s="58" t="n">
        <f aca="false">IFERROR(_Data!C62,"")</f>
        <v>46194</v>
      </c>
      <c r="D78" s="59" t="str">
        <f aca="false">IFERROR(_Data!D62,"")</f>
        <v>Trans II 1/4</v>
      </c>
      <c r="E78" s="60" t="n">
        <f aca="false">IFERROR(_Data!E62,"")</f>
        <v>0</v>
      </c>
      <c r="F78" s="60" t="n">
        <f aca="false">IFERROR(_Data!F62,"")</f>
        <v>0</v>
      </c>
      <c r="G78" s="61" t="str">
        <f aca="false">IFERROR(_Data!G62,"")</f>
        <v/>
      </c>
      <c r="H78" s="61" t="n">
        <f aca="false">IFERROR(_Data!H62,"")</f>
        <v>0</v>
      </c>
      <c r="I78" s="62" t="str">
        <f aca="false">IFERROR(_Data!I62,"")</f>
        <v/>
      </c>
      <c r="J78" s="63" t="str">
        <f aca="false">IFERROR(_Data!J62,"")</f>
        <v/>
      </c>
    </row>
    <row r="79" customFormat="false" ht="15" hidden="false" customHeight="true" outlineLevel="0" collapsed="false">
      <c r="A79" s="57" t="str">
        <f aca="false">IFERROR(_Data!A63,"")</f>
        <v>W7</v>
      </c>
      <c r="B79" s="58" t="n">
        <f aca="false">IFERROR(_Data!B63,"")</f>
        <v>46195</v>
      </c>
      <c r="C79" s="58" t="n">
        <f aca="false">IFERROR(_Data!C63,"")</f>
        <v>46201</v>
      </c>
      <c r="D79" s="59" t="str">
        <f aca="false">IFERROR(_Data!D63,"")</f>
        <v>Trans II 2/4</v>
      </c>
      <c r="E79" s="60" t="n">
        <f aca="false">IFERROR(_Data!E63,"")</f>
        <v>0</v>
      </c>
      <c r="F79" s="60" t="n">
        <f aca="false">IFERROR(_Data!F63,"")</f>
        <v>0</v>
      </c>
      <c r="G79" s="61" t="str">
        <f aca="false">IFERROR(_Data!G63,"")</f>
        <v/>
      </c>
      <c r="H79" s="61" t="n">
        <f aca="false">IFERROR(_Data!H63,"")</f>
        <v>0</v>
      </c>
      <c r="I79" s="62" t="str">
        <f aca="false">IFERROR(_Data!I63,"")</f>
        <v/>
      </c>
      <c r="J79" s="63" t="str">
        <f aca="false">IFERROR(_Data!J63,"")</f>
        <v/>
      </c>
    </row>
    <row r="80" customFormat="false" ht="15" hidden="false" customHeight="true" outlineLevel="0" collapsed="false">
      <c r="A80" s="57" t="str">
        <f aca="false">IFERROR(_Data!A64,"")</f>
        <v>W8</v>
      </c>
      <c r="B80" s="58" t="n">
        <f aca="false">IFERROR(_Data!B64,"")</f>
        <v>46202</v>
      </c>
      <c r="C80" s="58" t="n">
        <f aca="false">IFERROR(_Data!C64,"")</f>
        <v>46208</v>
      </c>
      <c r="D80" s="59" t="str">
        <f aca="false">IFERROR(_Data!D64,"")</f>
        <v>Trans II 3/4</v>
      </c>
      <c r="E80" s="60" t="n">
        <f aca="false">IFERROR(_Data!E64,"")</f>
        <v>0</v>
      </c>
      <c r="F80" s="60" t="n">
        <f aca="false">IFERROR(_Data!F64,"")</f>
        <v>0</v>
      </c>
      <c r="G80" s="61" t="str">
        <f aca="false">IFERROR(_Data!G64,"")</f>
        <v/>
      </c>
      <c r="H80" s="61" t="n">
        <f aca="false">IFERROR(_Data!H64,"")</f>
        <v>0</v>
      </c>
      <c r="I80" s="62" t="str">
        <f aca="false">IFERROR(_Data!I64,"")</f>
        <v/>
      </c>
      <c r="J80" s="63" t="str">
        <f aca="false">IFERROR(_Data!J64,"")</f>
        <v/>
      </c>
    </row>
    <row r="81" customFormat="false" ht="15" hidden="false" customHeight="true" outlineLevel="0" collapsed="false">
      <c r="A81" s="57" t="str">
        <f aca="false">IFERROR(_Data!A65,"")</f>
        <v>W9</v>
      </c>
      <c r="B81" s="58" t="n">
        <f aca="false">IFERROR(_Data!B65,"")</f>
        <v>46209</v>
      </c>
      <c r="C81" s="58" t="n">
        <f aca="false">IFERROR(_Data!C65,"")</f>
        <v>46215</v>
      </c>
      <c r="D81" s="59" t="str">
        <f aca="false">IFERROR(_Data!D65,"")</f>
        <v>Trans II 4/4</v>
      </c>
      <c r="E81" s="60" t="n">
        <f aca="false">IFERROR(_Data!E65,"")</f>
        <v>0</v>
      </c>
      <c r="F81" s="60" t="n">
        <f aca="false">IFERROR(_Data!F65,"")</f>
        <v>0</v>
      </c>
      <c r="G81" s="61" t="str">
        <f aca="false">IFERROR(_Data!G65,"")</f>
        <v/>
      </c>
      <c r="H81" s="61" t="n">
        <f aca="false">IFERROR(_Data!H65,"")</f>
        <v>0</v>
      </c>
      <c r="I81" s="62" t="str">
        <f aca="false">IFERROR(_Data!I65,"")</f>
        <v/>
      </c>
      <c r="J81" s="63" t="str">
        <f aca="false">IFERROR(_Data!J65,"")</f>
        <v/>
      </c>
    </row>
    <row r="82" customFormat="false" ht="15" hidden="false" customHeight="true" outlineLevel="0" collapsed="false">
      <c r="A82" s="57" t="str">
        <f aca="false">IFERROR(_Data!A66,"")</f>
        <v>W10</v>
      </c>
      <c r="B82" s="58" t="n">
        <f aca="false">IFERROR(_Data!B66,"")</f>
        <v>46216</v>
      </c>
      <c r="C82" s="58" t="n">
        <f aca="false">IFERROR(_Data!C66,"")</f>
        <v>46222</v>
      </c>
      <c r="D82" s="59" t="str">
        <f aca="false">IFERROR(_Data!D66,"")</f>
        <v>Deload + Test</v>
      </c>
      <c r="E82" s="60" t="n">
        <f aca="false">IFERROR(_Data!E66,"")</f>
        <v>0</v>
      </c>
      <c r="F82" s="60" t="n">
        <f aca="false">IFERROR(_Data!F66,"")</f>
        <v>0</v>
      </c>
      <c r="G82" s="61" t="str">
        <f aca="false">IFERROR(_Data!G66,"")</f>
        <v/>
      </c>
      <c r="H82" s="61" t="n">
        <f aca="false">IFERROR(_Data!H66,"")</f>
        <v>0</v>
      </c>
      <c r="I82" s="62" t="str">
        <f aca="false">IFERROR(_Data!I66,"")</f>
        <v/>
      </c>
      <c r="J82" s="63" t="str">
        <f aca="false">IFERROR(_Data!J66,"")</f>
        <v>TEST</v>
      </c>
    </row>
    <row r="83" customFormat="false" ht="15" hidden="false" customHeight="true" outlineLevel="0" collapsed="false">
      <c r="A83" s="57" t="str">
        <f aca="false">IFERROR(_Data!A67,"")</f>
        <v>W11</v>
      </c>
      <c r="B83" s="58" t="n">
        <f aca="false">IFERROR(_Data!B67,"")</f>
        <v>46223</v>
      </c>
      <c r="C83" s="58" t="n">
        <f aca="false">IFERROR(_Data!C67,"")</f>
        <v>46229</v>
      </c>
      <c r="D83" s="59" t="str">
        <f aca="false">IFERROR(_Data!D67,"")</f>
        <v>Peak 1/4</v>
      </c>
      <c r="E83" s="60" t="n">
        <f aca="false">IFERROR(_Data!E67,"")</f>
        <v>0</v>
      </c>
      <c r="F83" s="60" t="n">
        <f aca="false">IFERROR(_Data!F67,"")</f>
        <v>0</v>
      </c>
      <c r="G83" s="61" t="str">
        <f aca="false">IFERROR(_Data!G67,"")</f>
        <v/>
      </c>
      <c r="H83" s="61" t="n">
        <f aca="false">IFERROR(_Data!H67,"")</f>
        <v>0</v>
      </c>
      <c r="I83" s="62" t="str">
        <f aca="false">IFERROR(_Data!I67,"")</f>
        <v/>
      </c>
      <c r="J83" s="63" t="str">
        <f aca="false">IFERROR(_Data!J67,"")</f>
        <v/>
      </c>
    </row>
    <row r="84" customFormat="false" ht="15" hidden="false" customHeight="true" outlineLevel="0" collapsed="false">
      <c r="A84" s="57" t="str">
        <f aca="false">IFERROR(_Data!A68,"")</f>
        <v>W12</v>
      </c>
      <c r="B84" s="58" t="n">
        <f aca="false">IFERROR(_Data!B68,"")</f>
        <v>46230</v>
      </c>
      <c r="C84" s="58" t="n">
        <f aca="false">IFERROR(_Data!C68,"")</f>
        <v>46236</v>
      </c>
      <c r="D84" s="59" t="str">
        <f aca="false">IFERROR(_Data!D68,"")</f>
        <v>Peak 2/4</v>
      </c>
      <c r="E84" s="60" t="n">
        <f aca="false">IFERROR(_Data!E68,"")</f>
        <v>0</v>
      </c>
      <c r="F84" s="60" t="n">
        <f aca="false">IFERROR(_Data!F68,"")</f>
        <v>0</v>
      </c>
      <c r="G84" s="61" t="str">
        <f aca="false">IFERROR(_Data!G68,"")</f>
        <v/>
      </c>
      <c r="H84" s="61" t="n">
        <f aca="false">IFERROR(_Data!H68,"")</f>
        <v>0</v>
      </c>
      <c r="I84" s="62" t="str">
        <f aca="false">IFERROR(_Data!I68,"")</f>
        <v/>
      </c>
      <c r="J84" s="63" t="str">
        <f aca="false">IFERROR(_Data!J68,"")</f>
        <v/>
      </c>
    </row>
    <row r="85" customFormat="false" ht="15" hidden="false" customHeight="true" outlineLevel="0" collapsed="false">
      <c r="A85" s="57" t="str">
        <f aca="false">IFERROR(_Data!A69,"")</f>
        <v>W13</v>
      </c>
      <c r="B85" s="58" t="n">
        <f aca="false">IFERROR(_Data!B69,"")</f>
        <v>46237</v>
      </c>
      <c r="C85" s="58" t="n">
        <f aca="false">IFERROR(_Data!C69,"")</f>
        <v>46243</v>
      </c>
      <c r="D85" s="59" t="str">
        <f aca="false">IFERROR(_Data!D69,"")</f>
        <v>Peak 3/4</v>
      </c>
      <c r="E85" s="60" t="n">
        <f aca="false">IFERROR(_Data!E69,"")</f>
        <v>0</v>
      </c>
      <c r="F85" s="60" t="n">
        <f aca="false">IFERROR(_Data!F69,"")</f>
        <v>0</v>
      </c>
      <c r="G85" s="61" t="str">
        <f aca="false">IFERROR(_Data!G69,"")</f>
        <v/>
      </c>
      <c r="H85" s="61" t="n">
        <f aca="false">IFERROR(_Data!H69,"")</f>
        <v>0</v>
      </c>
      <c r="I85" s="62" t="str">
        <f aca="false">IFERROR(_Data!I69,"")</f>
        <v/>
      </c>
      <c r="J85" s="63" t="str">
        <f aca="false">IFERROR(_Data!J69,"")</f>
        <v/>
      </c>
    </row>
    <row r="86" customFormat="false" ht="15" hidden="false" customHeight="true" outlineLevel="0" collapsed="false">
      <c r="A86" s="57" t="str">
        <f aca="false">IFERROR(_Data!A70,"")</f>
        <v>W14</v>
      </c>
      <c r="B86" s="58" t="n">
        <f aca="false">IFERROR(_Data!B70,"")</f>
        <v>46244</v>
      </c>
      <c r="C86" s="58" t="n">
        <f aca="false">IFERROR(_Data!C70,"")</f>
        <v>46250</v>
      </c>
      <c r="D86" s="59" t="str">
        <f aca="false">IFERROR(_Data!D70,"")</f>
        <v>Peak 4/4</v>
      </c>
      <c r="E86" s="60" t="n">
        <f aca="false">IFERROR(_Data!E70,"")</f>
        <v>0</v>
      </c>
      <c r="F86" s="60" t="n">
        <f aca="false">IFERROR(_Data!F70,"")</f>
        <v>0</v>
      </c>
      <c r="G86" s="61" t="str">
        <f aca="false">IFERROR(_Data!G70,"")</f>
        <v/>
      </c>
      <c r="H86" s="61" t="n">
        <f aca="false">IFERROR(_Data!H70,"")</f>
        <v>0</v>
      </c>
      <c r="I86" s="62" t="str">
        <f aca="false">IFERROR(_Data!I70,"")</f>
        <v/>
      </c>
      <c r="J86" s="63" t="str">
        <f aca="false">IFERROR(_Data!J70,"")</f>
        <v/>
      </c>
    </row>
    <row r="87" customFormat="false" ht="15" hidden="false" customHeight="true" outlineLevel="0" collapsed="false">
      <c r="A87" s="57" t="str">
        <f aca="false">IFERROR(_Data!A71,"")</f>
        <v>W15</v>
      </c>
      <c r="B87" s="58" t="n">
        <f aca="false">IFERROR(_Data!B71,"")</f>
        <v>46251</v>
      </c>
      <c r="C87" s="58" t="n">
        <f aca="false">IFERROR(_Data!C71,"")</f>
        <v>46257</v>
      </c>
      <c r="D87" s="59" t="str">
        <f aca="false">IFERROR(_Data!D71,"")</f>
        <v>Deload + Test</v>
      </c>
      <c r="E87" s="60" t="n">
        <f aca="false">IFERROR(_Data!E71,"")</f>
        <v>0</v>
      </c>
      <c r="F87" s="60" t="n">
        <f aca="false">IFERROR(_Data!F71,"")</f>
        <v>0</v>
      </c>
      <c r="G87" s="61" t="str">
        <f aca="false">IFERROR(_Data!G71,"")</f>
        <v/>
      </c>
      <c r="H87" s="61" t="n">
        <f aca="false">IFERROR(_Data!H71,"")</f>
        <v>0</v>
      </c>
      <c r="I87" s="62" t="str">
        <f aca="false">IFERROR(_Data!I71,"")</f>
        <v/>
      </c>
      <c r="J87" s="63" t="str">
        <f aca="false">IFERROR(_Data!J71,"")</f>
        <v>TEST</v>
      </c>
    </row>
    <row r="88" customFormat="false" ht="15" hidden="false" customHeight="true" outlineLevel="0" collapsed="false">
      <c r="A88" s="57" t="str">
        <f aca="false">IFERROR(_Data!A72,"")</f>
        <v>W16</v>
      </c>
      <c r="B88" s="58" t="n">
        <f aca="false">IFERROR(_Data!B72,"")</f>
        <v>46258</v>
      </c>
      <c r="C88" s="58" t="n">
        <f aca="false">IFERROR(_Data!C72,"")</f>
        <v>46264</v>
      </c>
      <c r="D88" s="59" t="str">
        <f aca="false">IFERROR(_Data!D72,"")</f>
        <v>Realization</v>
      </c>
      <c r="E88" s="60" t="n">
        <f aca="false">IFERROR(_Data!E72,"")</f>
        <v>0</v>
      </c>
      <c r="F88" s="60" t="n">
        <f aca="false">IFERROR(_Data!F72,"")</f>
        <v>0</v>
      </c>
      <c r="G88" s="61" t="str">
        <f aca="false">IFERROR(_Data!G72,"")</f>
        <v/>
      </c>
      <c r="H88" s="61" t="n">
        <f aca="false">IFERROR(_Data!H72,"")</f>
        <v>0</v>
      </c>
      <c r="I88" s="62" t="str">
        <f aca="false">IFERROR(_Data!I72,"")</f>
        <v/>
      </c>
      <c r="J88" s="63" t="str">
        <f aca="false">IFERROR(_Data!J72,"")</f>
        <v>REALIZE</v>
      </c>
    </row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" hidden="false" customHeight="true" outlineLevel="0" collapsed="false">
      <c r="A91" s="53" t="s">
        <v>224</v>
      </c>
      <c r="B91" s="53"/>
      <c r="C91" s="53"/>
      <c r="D91" s="53"/>
      <c r="E91" s="53"/>
      <c r="F91" s="53"/>
      <c r="G91" s="53"/>
      <c r="H91" s="53"/>
      <c r="I91" s="53"/>
      <c r="J91" s="53"/>
    </row>
    <row r="92" customFormat="false" ht="15" hidden="false" customHeight="true" outlineLevel="0" collapsed="false">
      <c r="A92" s="55" t="s">
        <v>225</v>
      </c>
      <c r="B92" s="55"/>
      <c r="C92" s="55"/>
      <c r="D92" s="55"/>
      <c r="E92" s="55"/>
      <c r="F92" s="55"/>
      <c r="G92" s="55"/>
      <c r="H92" s="55"/>
      <c r="I92" s="55"/>
      <c r="J92" s="55"/>
    </row>
    <row r="93" customFormat="false" ht="24" hidden="false" customHeight="true" outlineLevel="0" collapsed="false">
      <c r="A93" s="56" t="s">
        <v>226</v>
      </c>
      <c r="B93" s="56" t="s">
        <v>227</v>
      </c>
      <c r="C93" s="56" t="s">
        <v>216</v>
      </c>
      <c r="D93" s="56" t="s">
        <v>217</v>
      </c>
      <c r="E93" s="56" t="s">
        <v>218</v>
      </c>
      <c r="F93" s="56" t="s">
        <v>219</v>
      </c>
      <c r="G93" s="56" t="s">
        <v>220</v>
      </c>
      <c r="H93" s="56" t="s">
        <v>221</v>
      </c>
      <c r="I93" s="56" t="s">
        <v>222</v>
      </c>
      <c r="J93" s="56" t="s">
        <v>228</v>
      </c>
    </row>
    <row r="94" customFormat="false" ht="15" hidden="false" customHeight="true" outlineLevel="0" collapsed="false">
      <c r="A94" s="64" t="str">
        <f aca="false">IFERROR(_Data!A77,"")</f>
        <v>Transmutation I</v>
      </c>
      <c r="B94" s="65" t="str">
        <f aca="false">IFERROR(_Data!B77,"")</f>
        <v>W1–W4</v>
      </c>
      <c r="C94" s="58" t="n">
        <f aca="false">IFERROR(_Data!C77,"")</f>
        <v>46153</v>
      </c>
      <c r="D94" s="58" t="n">
        <f aca="false">IFERROR(_Data!D77,"")</f>
        <v>46180</v>
      </c>
      <c r="E94" s="60" t="n">
        <f aca="false">IFERROR(_Data!E77,"")</f>
        <v>5</v>
      </c>
      <c r="F94" s="60" t="n">
        <f aca="false">IFERROR(_Data!F77,"")</f>
        <v>3</v>
      </c>
      <c r="G94" s="61" t="n">
        <f aca="false">IFERROR(_Data!G77,"")</f>
        <v>9.2</v>
      </c>
      <c r="H94" s="61" t="n">
        <f aca="false">IFERROR(_Data!H77,"")</f>
        <v>26.6</v>
      </c>
      <c r="I94" s="62" t="n">
        <f aca="false">IFERROR(_Data!I77,"")</f>
        <v>3.125</v>
      </c>
      <c r="J94" s="66" t="str">
        <f aca="false">IFERROR(_Data!J77,"")</f>
        <v>In progress</v>
      </c>
    </row>
    <row r="95" customFormat="false" ht="15" hidden="false" customHeight="true" outlineLevel="0" collapsed="false">
      <c r="A95" s="64" t="str">
        <f aca="false">IFERROR(_Data!A78,"")</f>
        <v>Deload + Test W5</v>
      </c>
      <c r="B95" s="65" t="str">
        <f aca="false">IFERROR(_Data!B78,"")</f>
        <v>W5</v>
      </c>
      <c r="C95" s="58" t="n">
        <f aca="false">IFERROR(_Data!C78,"")</f>
        <v>46181</v>
      </c>
      <c r="D95" s="58" t="n">
        <f aca="false">IFERROR(_Data!D78,"")</f>
        <v>46187</v>
      </c>
      <c r="E95" s="60" t="n">
        <f aca="false">IFERROR(_Data!E78,"")</f>
        <v>0</v>
      </c>
      <c r="F95" s="60" t="n">
        <f aca="false">IFERROR(_Data!F78,"")</f>
        <v>0</v>
      </c>
      <c r="G95" s="61" t="str">
        <f aca="false">IFERROR(_Data!G78,"")</f>
        <v/>
      </c>
      <c r="H95" s="61" t="n">
        <f aca="false">IFERROR(_Data!H78,"")</f>
        <v>0</v>
      </c>
      <c r="I95" s="62" t="str">
        <f aca="false">IFERROR(_Data!I78,"")</f>
        <v/>
      </c>
      <c r="J95" s="66" t="str">
        <f aca="false">IFERROR(_Data!J78,"")</f>
        <v>Upcoming</v>
      </c>
    </row>
    <row r="96" customFormat="false" ht="15" hidden="false" customHeight="true" outlineLevel="0" collapsed="false">
      <c r="A96" s="64" t="str">
        <f aca="false">IFERROR(_Data!A79,"")</f>
        <v>Transmutation II</v>
      </c>
      <c r="B96" s="65" t="str">
        <f aca="false">IFERROR(_Data!B79,"")</f>
        <v>W6–W9</v>
      </c>
      <c r="C96" s="58" t="n">
        <f aca="false">IFERROR(_Data!C79,"")</f>
        <v>46188</v>
      </c>
      <c r="D96" s="58" t="n">
        <f aca="false">IFERROR(_Data!D79,"")</f>
        <v>46215</v>
      </c>
      <c r="E96" s="60" t="n">
        <f aca="false">IFERROR(_Data!E79,"")</f>
        <v>0</v>
      </c>
      <c r="F96" s="60" t="n">
        <f aca="false">IFERROR(_Data!F79,"")</f>
        <v>0</v>
      </c>
      <c r="G96" s="61" t="str">
        <f aca="false">IFERROR(_Data!G79,"")</f>
        <v/>
      </c>
      <c r="H96" s="61" t="n">
        <f aca="false">IFERROR(_Data!H79,"")</f>
        <v>0</v>
      </c>
      <c r="I96" s="62" t="str">
        <f aca="false">IFERROR(_Data!I79,"")</f>
        <v/>
      </c>
      <c r="J96" s="66" t="str">
        <f aca="false">IFERROR(_Data!J79,"")</f>
        <v>Upcoming</v>
      </c>
    </row>
    <row r="97" customFormat="false" ht="15" hidden="false" customHeight="true" outlineLevel="0" collapsed="false">
      <c r="A97" s="64" t="str">
        <f aca="false">IFERROR(_Data!A80,"")</f>
        <v>Deload + Test W10</v>
      </c>
      <c r="B97" s="65" t="str">
        <f aca="false">IFERROR(_Data!B80,"")</f>
        <v>W10</v>
      </c>
      <c r="C97" s="58" t="n">
        <f aca="false">IFERROR(_Data!C80,"")</f>
        <v>46216</v>
      </c>
      <c r="D97" s="58" t="n">
        <f aca="false">IFERROR(_Data!D80,"")</f>
        <v>46222</v>
      </c>
      <c r="E97" s="60" t="n">
        <f aca="false">IFERROR(_Data!E80,"")</f>
        <v>0</v>
      </c>
      <c r="F97" s="60" t="n">
        <f aca="false">IFERROR(_Data!F80,"")</f>
        <v>0</v>
      </c>
      <c r="G97" s="61" t="str">
        <f aca="false">IFERROR(_Data!G80,"")</f>
        <v/>
      </c>
      <c r="H97" s="61" t="n">
        <f aca="false">IFERROR(_Data!H80,"")</f>
        <v>0</v>
      </c>
      <c r="I97" s="62" t="str">
        <f aca="false">IFERROR(_Data!I80,"")</f>
        <v/>
      </c>
      <c r="J97" s="66" t="str">
        <f aca="false">IFERROR(_Data!J80,"")</f>
        <v>Upcoming</v>
      </c>
    </row>
    <row r="98" customFormat="false" ht="15" hidden="false" customHeight="true" outlineLevel="0" collapsed="false">
      <c r="A98" s="64" t="str">
        <f aca="false">IFERROR(_Data!A81,"")</f>
        <v>Peak Intensity</v>
      </c>
      <c r="B98" s="65" t="str">
        <f aca="false">IFERROR(_Data!B81,"")</f>
        <v>W11–W14</v>
      </c>
      <c r="C98" s="58" t="n">
        <f aca="false">IFERROR(_Data!C81,"")</f>
        <v>46223</v>
      </c>
      <c r="D98" s="58" t="n">
        <f aca="false">IFERROR(_Data!D81,"")</f>
        <v>46250</v>
      </c>
      <c r="E98" s="60" t="n">
        <f aca="false">IFERROR(_Data!E81,"")</f>
        <v>0</v>
      </c>
      <c r="F98" s="60" t="n">
        <f aca="false">IFERROR(_Data!F81,"")</f>
        <v>0</v>
      </c>
      <c r="G98" s="61" t="str">
        <f aca="false">IFERROR(_Data!G81,"")</f>
        <v/>
      </c>
      <c r="H98" s="61" t="n">
        <f aca="false">IFERROR(_Data!H81,"")</f>
        <v>0</v>
      </c>
      <c r="I98" s="62" t="str">
        <f aca="false">IFERROR(_Data!I81,"")</f>
        <v/>
      </c>
      <c r="J98" s="66" t="str">
        <f aca="false">IFERROR(_Data!J81,"")</f>
        <v>Upcoming</v>
      </c>
    </row>
    <row r="99" customFormat="false" ht="15" hidden="false" customHeight="true" outlineLevel="0" collapsed="false">
      <c r="A99" s="64" t="str">
        <f aca="false">IFERROR(_Data!A82,"")</f>
        <v>Deload + Final Test</v>
      </c>
      <c r="B99" s="65" t="str">
        <f aca="false">IFERROR(_Data!B82,"")</f>
        <v>W15</v>
      </c>
      <c r="C99" s="58" t="n">
        <f aca="false">IFERROR(_Data!C82,"")</f>
        <v>46251</v>
      </c>
      <c r="D99" s="58" t="n">
        <f aca="false">IFERROR(_Data!D82,"")</f>
        <v>46257</v>
      </c>
      <c r="E99" s="60" t="n">
        <f aca="false">IFERROR(_Data!E82,"")</f>
        <v>0</v>
      </c>
      <c r="F99" s="60" t="n">
        <f aca="false">IFERROR(_Data!F82,"")</f>
        <v>0</v>
      </c>
      <c r="G99" s="61" t="str">
        <f aca="false">IFERROR(_Data!G82,"")</f>
        <v/>
      </c>
      <c r="H99" s="61" t="n">
        <f aca="false">IFERROR(_Data!H82,"")</f>
        <v>0</v>
      </c>
      <c r="I99" s="62" t="str">
        <f aca="false">IFERROR(_Data!I82,"")</f>
        <v/>
      </c>
      <c r="J99" s="66" t="str">
        <f aca="false">IFERROR(_Data!J82,"")</f>
        <v>Upcoming</v>
      </c>
    </row>
    <row r="100" customFormat="false" ht="15" hidden="false" customHeight="true" outlineLevel="0" collapsed="false">
      <c r="A100" s="64" t="str">
        <f aca="false">IFERROR(_Data!A83,"")</f>
        <v>Realization</v>
      </c>
      <c r="B100" s="65" t="str">
        <f aca="false">IFERROR(_Data!B83,"")</f>
        <v>W16</v>
      </c>
      <c r="C100" s="58" t="n">
        <f aca="false">IFERROR(_Data!C83,"")</f>
        <v>46258</v>
      </c>
      <c r="D100" s="58" t="n">
        <f aca="false">IFERROR(_Data!D83,"")</f>
        <v>46264</v>
      </c>
      <c r="E100" s="60" t="n">
        <f aca="false">IFERROR(_Data!E83,"")</f>
        <v>0</v>
      </c>
      <c r="F100" s="60" t="n">
        <f aca="false">IFERROR(_Data!F83,"")</f>
        <v>0</v>
      </c>
      <c r="G100" s="61" t="str">
        <f aca="false">IFERROR(_Data!G83,"")</f>
        <v/>
      </c>
      <c r="H100" s="61" t="n">
        <f aca="false">IFERROR(_Data!H83,"")</f>
        <v>0</v>
      </c>
      <c r="I100" s="62" t="str">
        <f aca="false">IFERROR(_Data!I83,"")</f>
        <v/>
      </c>
      <c r="J100" s="66" t="str">
        <f aca="false">IFERROR(_Data!J83,"")</f>
        <v>Upcoming</v>
      </c>
    </row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" hidden="false" customHeight="true" outlineLevel="0" collapsed="false">
      <c r="A103" s="53" t="s">
        <v>229</v>
      </c>
      <c r="B103" s="53"/>
      <c r="C103" s="53"/>
      <c r="D103" s="53"/>
      <c r="E103" s="53"/>
      <c r="F103" s="53"/>
      <c r="G103" s="53"/>
      <c r="H103" s="53"/>
      <c r="I103" s="53"/>
      <c r="J103" s="53"/>
    </row>
    <row r="104" customFormat="false" ht="42" hidden="false" customHeight="true" outlineLevel="0" collapsed="false">
      <c r="A104" s="19" t="s">
        <v>230</v>
      </c>
      <c r="B104" s="19"/>
      <c r="C104" s="19"/>
      <c r="D104" s="20" t="s">
        <v>231</v>
      </c>
      <c r="E104" s="20"/>
      <c r="F104" s="20"/>
      <c r="G104" s="20"/>
      <c r="H104" s="20"/>
      <c r="I104" s="20"/>
      <c r="J104" s="20"/>
    </row>
    <row r="105" customFormat="false" ht="42" hidden="false" customHeight="true" outlineLevel="0" collapsed="false">
      <c r="A105" s="19" t="s">
        <v>232</v>
      </c>
      <c r="B105" s="19"/>
      <c r="C105" s="19"/>
      <c r="D105" s="20" t="s">
        <v>233</v>
      </c>
      <c r="E105" s="20"/>
      <c r="F105" s="20"/>
      <c r="G105" s="20"/>
      <c r="H105" s="20"/>
      <c r="I105" s="20"/>
      <c r="J105" s="20"/>
    </row>
    <row r="106" customFormat="false" ht="42" hidden="false" customHeight="true" outlineLevel="0" collapsed="false">
      <c r="A106" s="19" t="s">
        <v>234</v>
      </c>
      <c r="B106" s="19"/>
      <c r="C106" s="19"/>
      <c r="D106" s="20" t="s">
        <v>235</v>
      </c>
      <c r="E106" s="20"/>
      <c r="F106" s="20"/>
      <c r="G106" s="20"/>
      <c r="H106" s="20"/>
      <c r="I106" s="20"/>
      <c r="J106" s="20"/>
    </row>
    <row r="107" customFormat="false" ht="42" hidden="false" customHeight="true" outlineLevel="0" collapsed="false">
      <c r="A107" s="19" t="s">
        <v>236</v>
      </c>
      <c r="B107" s="19"/>
      <c r="C107" s="19"/>
      <c r="D107" s="20" t="s">
        <v>237</v>
      </c>
      <c r="E107" s="20"/>
      <c r="F107" s="20"/>
      <c r="G107" s="20"/>
      <c r="H107" s="20"/>
      <c r="I107" s="20"/>
      <c r="J107" s="20"/>
    </row>
    <row r="108" customFormat="false" ht="42" hidden="false" customHeight="true" outlineLevel="0" collapsed="false">
      <c r="A108" s="19" t="s">
        <v>238</v>
      </c>
      <c r="B108" s="19"/>
      <c r="C108" s="19"/>
      <c r="D108" s="20" t="s">
        <v>239</v>
      </c>
      <c r="E108" s="20"/>
      <c r="F108" s="20"/>
      <c r="G108" s="20"/>
      <c r="H108" s="20"/>
      <c r="I108" s="20"/>
      <c r="J108" s="20"/>
    </row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3">
    <mergeCell ref="A1:J1"/>
    <mergeCell ref="A2:J2"/>
    <mergeCell ref="A4:J4"/>
    <mergeCell ref="A5:J5"/>
    <mergeCell ref="A26:J26"/>
    <mergeCell ref="A27:J27"/>
    <mergeCell ref="A48:J48"/>
    <mergeCell ref="A49:J49"/>
    <mergeCell ref="A70:J70"/>
    <mergeCell ref="A71:J71"/>
    <mergeCell ref="A91:J91"/>
    <mergeCell ref="A92:J92"/>
    <mergeCell ref="A103:J103"/>
    <mergeCell ref="A104:C104"/>
    <mergeCell ref="D104:J104"/>
    <mergeCell ref="A105:C105"/>
    <mergeCell ref="D105:J105"/>
    <mergeCell ref="A106:C106"/>
    <mergeCell ref="D106:J106"/>
    <mergeCell ref="A107:C107"/>
    <mergeCell ref="D107:J107"/>
    <mergeCell ref="A108:C108"/>
    <mergeCell ref="D108:J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7"/>
    <col collapsed="false" customWidth="true" hidden="false" outlineLevel="0" max="12" min="12" style="1" width="50"/>
    <col collapsed="false" customWidth="true" hidden="false" outlineLevel="0" max="13" min="13" style="1" width="14"/>
  </cols>
  <sheetData>
    <row r="1" customFormat="false" ht="17.25" hidden="false" customHeight="true" outlineLevel="0" collapsed="false">
      <c r="A1" s="67" t="s">
        <v>240</v>
      </c>
      <c r="B1" s="67"/>
      <c r="C1" s="67"/>
      <c r="D1" s="67"/>
      <c r="E1" s="67"/>
      <c r="F1" s="67"/>
      <c r="G1" s="67"/>
      <c r="H1" s="67"/>
    </row>
    <row r="2" customFormat="false" ht="42" hidden="false" customHeight="true" outlineLevel="0" collapsed="false">
      <c r="A2" s="52" t="s">
        <v>241</v>
      </c>
      <c r="B2" s="52"/>
      <c r="C2" s="52"/>
      <c r="D2" s="52"/>
      <c r="E2" s="52"/>
      <c r="F2" s="52"/>
      <c r="G2" s="52"/>
      <c r="H2" s="52"/>
      <c r="I2" s="68"/>
      <c r="J2" s="68"/>
      <c r="K2" s="68"/>
      <c r="L2" s="68"/>
    </row>
    <row r="3" customFormat="false" ht="15" hidden="false" customHeight="true" outlineLevel="0" collapsed="false"/>
    <row r="4" customFormat="false" ht="31.5" hidden="false" customHeight="true" outlineLevel="0" collapsed="false">
      <c r="A4" s="69" t="s">
        <v>179</v>
      </c>
      <c r="B4" s="69" t="s">
        <v>242</v>
      </c>
      <c r="C4" s="69" t="s">
        <v>243</v>
      </c>
      <c r="D4" s="69" t="s">
        <v>244</v>
      </c>
      <c r="E4" s="69" t="s">
        <v>125</v>
      </c>
      <c r="F4" s="69" t="s">
        <v>245</v>
      </c>
      <c r="G4" s="69" t="s">
        <v>246</v>
      </c>
      <c r="H4" s="69" t="s">
        <v>247</v>
      </c>
      <c r="I4" s="69" t="s">
        <v>248</v>
      </c>
      <c r="J4" s="69" t="s">
        <v>249</v>
      </c>
      <c r="K4" s="69" t="s">
        <v>22</v>
      </c>
      <c r="L4" s="69" t="s">
        <v>119</v>
      </c>
      <c r="M4" s="69" t="s">
        <v>250</v>
      </c>
    </row>
    <row r="5" customFormat="false" ht="15" hidden="false" customHeight="true" outlineLevel="0" collapsed="false">
      <c r="A5" s="70" t="n">
        <v>46126</v>
      </c>
      <c r="B5" s="71" t="s">
        <v>251</v>
      </c>
      <c r="C5" s="71" t="s">
        <v>252</v>
      </c>
      <c r="E5" s="71" t="n">
        <v>20</v>
      </c>
      <c r="H5" s="71" t="n">
        <v>3</v>
      </c>
      <c r="I5" s="71" t="n">
        <v>5</v>
      </c>
      <c r="J5" s="71" t="n">
        <v>3</v>
      </c>
      <c r="K5" s="71" t="s">
        <v>253</v>
      </c>
      <c r="L5" s="72" t="s">
        <v>254</v>
      </c>
      <c r="M5" s="73" t="str">
        <f aca="false">IF(OR(B5&lt;&gt;"Yielding",E5="",F5="",F5&lt;6),"",IF(D5="Heavy-3s",ROUND(E5*100/(40+6*F5)/1.1,1),ROUND(E5*100/(40+6*F5),1)))</f>
        <v/>
      </c>
    </row>
    <row r="6" customFormat="false" ht="15" hidden="false" customHeight="true" outlineLevel="0" collapsed="false">
      <c r="A6" s="70" t="n">
        <v>46133</v>
      </c>
      <c r="B6" s="71" t="s">
        <v>255</v>
      </c>
      <c r="C6" s="71" t="s">
        <v>256</v>
      </c>
      <c r="E6" s="71" t="n">
        <v>0</v>
      </c>
      <c r="H6" s="71" t="n">
        <v>2</v>
      </c>
      <c r="I6" s="71" t="n">
        <v>5</v>
      </c>
      <c r="J6" s="71" t="n">
        <v>2</v>
      </c>
      <c r="K6" s="71" t="s">
        <v>253</v>
      </c>
      <c r="L6" s="72" t="s">
        <v>257</v>
      </c>
      <c r="M6" s="73" t="str">
        <f aca="false">IF(OR(B6&lt;&gt;"Yielding",E6="",F6="",F6&lt;6),"",IF(D6="Heavy-3s",ROUND(E6*100/(40+6*F6)/1.1,1),ROUND(E6*100/(40+6*F6),1)))</f>
        <v/>
      </c>
    </row>
    <row r="7" customFormat="false" ht="15" hidden="false" customHeight="true" outlineLevel="0" collapsed="false">
      <c r="A7" s="70" t="n">
        <v>46134</v>
      </c>
      <c r="B7" s="71" t="s">
        <v>251</v>
      </c>
      <c r="C7" s="71" t="s">
        <v>252</v>
      </c>
      <c r="E7" s="71" t="n">
        <v>25</v>
      </c>
      <c r="H7" s="71" t="n">
        <v>2</v>
      </c>
      <c r="I7" s="71" t="n">
        <v>5</v>
      </c>
      <c r="J7" s="71" t="n">
        <v>3</v>
      </c>
      <c r="K7" s="71" t="s">
        <v>253</v>
      </c>
      <c r="L7" s="72" t="s">
        <v>258</v>
      </c>
      <c r="M7" s="73" t="str">
        <f aca="false">IF(OR(B7&lt;&gt;"Yielding",E7="",F7="",F7&lt;6),"",IF(D7="Heavy-3s",ROUND(E7*100/(40+6*F7)/1.1,1),ROUND(E7*100/(40+6*F7),1)))</f>
        <v/>
      </c>
    </row>
    <row r="8" customFormat="false" ht="15" hidden="false" customHeight="true" outlineLevel="0" collapsed="false">
      <c r="A8" s="70" t="n">
        <v>46136</v>
      </c>
      <c r="B8" s="71" t="s">
        <v>219</v>
      </c>
      <c r="C8" s="71" t="s">
        <v>259</v>
      </c>
      <c r="E8" s="71" t="n">
        <v>0</v>
      </c>
      <c r="H8" s="71" t="n">
        <v>2</v>
      </c>
      <c r="I8" s="71" t="n">
        <v>5</v>
      </c>
      <c r="J8" s="71" t="n">
        <v>2</v>
      </c>
      <c r="K8" s="71" t="s">
        <v>253</v>
      </c>
      <c r="L8" s="72" t="s">
        <v>260</v>
      </c>
      <c r="M8" s="73" t="str">
        <f aca="false">IF(OR(B8&lt;&gt;"Yielding",E8="",F8="",F8&lt;6),"",IF(D8="Heavy-3s",ROUND(E8*100/(40+6*F8)/1.1,1),ROUND(E8*100/(40+6*F8),1)))</f>
        <v/>
      </c>
    </row>
    <row r="9" customFormat="false" ht="15" hidden="false" customHeight="true" outlineLevel="0" collapsed="false">
      <c r="A9" s="70" t="n">
        <v>46140</v>
      </c>
      <c r="B9" s="71" t="s">
        <v>219</v>
      </c>
      <c r="C9" s="71" t="s">
        <v>259</v>
      </c>
      <c r="E9" s="71" t="n">
        <v>0</v>
      </c>
      <c r="H9" s="71" t="n">
        <v>1</v>
      </c>
      <c r="I9" s="71" t="n">
        <v>5</v>
      </c>
      <c r="J9" s="71" t="n">
        <v>2</v>
      </c>
      <c r="K9" s="71" t="s">
        <v>253</v>
      </c>
      <c r="L9" s="72" t="s">
        <v>261</v>
      </c>
      <c r="M9" s="73" t="str">
        <f aca="false">IF(OR(B9&lt;&gt;"Yielding",E9="",F9="",F9&lt;6),"",IF(D9="Heavy-3s",ROUND(E9*100/(40+6*F9)/1.1,1),ROUND(E9*100/(40+6*F9),1)))</f>
        <v/>
      </c>
    </row>
    <row r="10" customFormat="false" ht="15" hidden="false" customHeight="true" outlineLevel="0" collapsed="false">
      <c r="A10" s="70" t="n">
        <v>46142</v>
      </c>
      <c r="B10" s="71" t="s">
        <v>219</v>
      </c>
      <c r="C10" s="71" t="s">
        <v>259</v>
      </c>
      <c r="E10" s="71" t="n">
        <v>0</v>
      </c>
      <c r="H10" s="71" t="n">
        <v>3</v>
      </c>
      <c r="I10" s="71" t="n">
        <v>5</v>
      </c>
      <c r="J10" s="71" t="n">
        <v>3</v>
      </c>
      <c r="K10" s="71" t="s">
        <v>253</v>
      </c>
      <c r="L10" s="72" t="s">
        <v>262</v>
      </c>
      <c r="M10" s="73" t="str">
        <f aca="false">IF(OR(B10&lt;&gt;"Yielding",E10="",F10="",F10&lt;6),"",IF(D10="Heavy-3s",ROUND(E10*100/(40+6*F10)/1.1,1),ROUND(E10*100/(40+6*F10),1)))</f>
        <v/>
      </c>
    </row>
    <row r="11" customFormat="false" ht="15" hidden="false" customHeight="true" outlineLevel="0" collapsed="false">
      <c r="A11" s="70" t="n">
        <v>46143</v>
      </c>
      <c r="B11" s="71" t="s">
        <v>251</v>
      </c>
      <c r="C11" s="71" t="s">
        <v>252</v>
      </c>
      <c r="E11" s="71" t="n">
        <v>15</v>
      </c>
      <c r="H11" s="71" t="n">
        <v>4</v>
      </c>
      <c r="I11" s="71" t="n">
        <v>5</v>
      </c>
      <c r="J11" s="71" t="n">
        <v>2</v>
      </c>
      <c r="K11" s="71" t="s">
        <v>253</v>
      </c>
      <c r="L11" s="72" t="s">
        <v>263</v>
      </c>
      <c r="M11" s="73" t="str">
        <f aca="false">IF(OR(B11&lt;&gt;"Yielding",E11="",F11="",F11&lt;6),"",IF(D11="Heavy-3s",ROUND(E11*100/(40+6*F11)/1.1,1),ROUND(E11*100/(40+6*F11),1)))</f>
        <v/>
      </c>
    </row>
    <row r="12" customFormat="false" ht="15" hidden="false" customHeight="true" outlineLevel="0" collapsed="false">
      <c r="A12" s="70" t="n">
        <v>46146</v>
      </c>
      <c r="B12" s="71" t="s">
        <v>251</v>
      </c>
      <c r="C12" s="71" t="s">
        <v>252</v>
      </c>
      <c r="E12" s="71" t="n">
        <v>20</v>
      </c>
      <c r="H12" s="71" t="n">
        <v>3</v>
      </c>
      <c r="I12" s="71" t="n">
        <v>8</v>
      </c>
      <c r="J12" s="71" t="n">
        <v>2</v>
      </c>
      <c r="K12" s="71" t="s">
        <v>253</v>
      </c>
      <c r="L12" s="72" t="s">
        <v>264</v>
      </c>
      <c r="M12" s="73" t="str">
        <f aca="false">IF(OR(B12&lt;&gt;"Yielding",E12="",F12="",F12&lt;6),"",IF(D12="Heavy-3s",ROUND(E12*100/(40+6*F12)/1.1,1),ROUND(E12*100/(40+6*F12),1)))</f>
        <v/>
      </c>
    </row>
    <row r="13" customFormat="false" ht="15" hidden="false" customHeight="true" outlineLevel="0" collapsed="false">
      <c r="A13" s="70" t="n">
        <v>46149</v>
      </c>
      <c r="B13" s="71" t="s">
        <v>219</v>
      </c>
      <c r="C13" s="71" t="s">
        <v>259</v>
      </c>
      <c r="E13" s="71" t="n">
        <v>0</v>
      </c>
      <c r="H13" s="71" t="n">
        <v>4</v>
      </c>
      <c r="I13" s="71" t="n">
        <v>8</v>
      </c>
      <c r="J13" s="71" t="n">
        <v>2</v>
      </c>
      <c r="K13" s="71" t="s">
        <v>253</v>
      </c>
      <c r="L13" s="72" t="s">
        <v>265</v>
      </c>
      <c r="M13" s="73" t="str">
        <f aca="false">IF(OR(B13&lt;&gt;"Yielding",E13="",F13="",F13&lt;6),"",IF(D13="Heavy-3s",ROUND(E13*100/(40+6*F13)/1.1,1),ROUND(E13*100/(40+6*F13),1)))</f>
        <v/>
      </c>
    </row>
    <row r="14" customFormat="false" ht="15" hidden="false" customHeight="true" outlineLevel="0" collapsed="false">
      <c r="A14" s="70" t="n">
        <v>46151</v>
      </c>
      <c r="B14" s="71" t="s">
        <v>255</v>
      </c>
      <c r="C14" s="71" t="s">
        <v>256</v>
      </c>
      <c r="E14" s="71"/>
      <c r="H14" s="71" t="n">
        <v>2</v>
      </c>
      <c r="I14" s="71" t="n">
        <v>7</v>
      </c>
      <c r="J14" s="71" t="n">
        <v>3</v>
      </c>
      <c r="K14" s="71" t="s">
        <v>253</v>
      </c>
      <c r="L14" s="72" t="s">
        <v>266</v>
      </c>
      <c r="M14" s="73" t="str">
        <f aca="false">IF(OR(B14&lt;&gt;"Yielding",E14="",F14="",F14&lt;6),"",IF(D14="Heavy-3s",ROUND(E14*100/(40+6*F14)/1.1,1),ROUND(E14*100/(40+6*F14),1)))</f>
        <v/>
      </c>
    </row>
    <row r="15" customFormat="false" ht="15" hidden="false" customHeight="true" outlineLevel="0" collapsed="false">
      <c r="A15" s="70" t="n">
        <v>46152</v>
      </c>
      <c r="B15" s="71" t="s">
        <v>219</v>
      </c>
      <c r="C15" s="71" t="s">
        <v>267</v>
      </c>
      <c r="D15" s="1" t="s">
        <v>219</v>
      </c>
      <c r="E15" s="71" t="n">
        <v>0</v>
      </c>
      <c r="H15" s="71" t="n">
        <v>3</v>
      </c>
      <c r="I15" s="71" t="n">
        <v>6</v>
      </c>
      <c r="J15" s="71" t="n">
        <v>3</v>
      </c>
      <c r="K15" s="71" t="s">
        <v>253</v>
      </c>
      <c r="L15" s="72" t="s">
        <v>268</v>
      </c>
      <c r="M15" s="73" t="str">
        <f aca="false">IF(OR(B15&lt;&gt;"Yielding",E15="",F15="",F15&lt;6),"",IF(D15="Heavy-3s",ROUND(E15*100/(40+6*F15)/1.1,1),ROUND(E15*100/(40+6*F15),1)))</f>
        <v/>
      </c>
    </row>
    <row r="16" customFormat="false" ht="15" hidden="false" customHeight="true" outlineLevel="0" collapsed="false">
      <c r="A16" s="74" t="n">
        <v>46154</v>
      </c>
      <c r="B16" s="75" t="s">
        <v>251</v>
      </c>
      <c r="C16" s="75" t="s">
        <v>252</v>
      </c>
      <c r="D16" s="1" t="s">
        <v>269</v>
      </c>
      <c r="E16" s="1" t="n">
        <v>25</v>
      </c>
      <c r="F16" s="1" t="n">
        <v>10</v>
      </c>
      <c r="G16" s="1" t="n">
        <v>3</v>
      </c>
      <c r="H16" s="1" t="n">
        <v>3</v>
      </c>
      <c r="I16" s="1" t="n">
        <v>6</v>
      </c>
      <c r="J16" s="1" t="n">
        <v>2</v>
      </c>
      <c r="K16" s="75" t="s">
        <v>149</v>
      </c>
      <c r="L16" s="1" t="s">
        <v>270</v>
      </c>
      <c r="M16" s="73" t="n">
        <f aca="false">IF(OR(B16&lt;&gt;"Yielding",E16="",F16="",F16&lt;6),"",IF(D16="Heavy-3s",ROUND(E16*100/(40+6*F16)/1.1,1),ROUND(E16*100/(40+6*F16),1)))</f>
        <v>25</v>
      </c>
    </row>
    <row r="17" customFormat="false" ht="15" hidden="false" customHeight="true" outlineLevel="0" collapsed="false">
      <c r="A17" s="74" t="n">
        <v>46156</v>
      </c>
      <c r="B17" s="75" t="s">
        <v>251</v>
      </c>
      <c r="C17" s="75" t="s">
        <v>259</v>
      </c>
      <c r="D17" s="1" t="s">
        <v>271</v>
      </c>
      <c r="E17" s="1" t="n">
        <v>20</v>
      </c>
      <c r="F17" s="1" t="n">
        <v>10</v>
      </c>
      <c r="G17" s="1" t="n">
        <v>3</v>
      </c>
      <c r="H17" s="1" t="n">
        <v>3</v>
      </c>
      <c r="I17" s="1" t="n">
        <v>3</v>
      </c>
      <c r="J17" s="1" t="n">
        <v>4</v>
      </c>
      <c r="K17" s="75" t="s">
        <v>149</v>
      </c>
      <c r="L17" s="1" t="s">
        <v>272</v>
      </c>
      <c r="M17" s="73" t="n">
        <f aca="false">IF(OR(B17&lt;&gt;"Yielding",E17="",F17="",F17&lt;6),"",IF(D17="Heavy-3s",ROUND(E17*100/(40+6*F17)/1.1,1),ROUND(E17*100/(40+6*F17),1)))</f>
        <v>20</v>
      </c>
    </row>
    <row r="18" customFormat="false" ht="15" hidden="false" customHeight="true" outlineLevel="0" collapsed="false">
      <c r="A18" s="74" t="n">
        <v>46158</v>
      </c>
      <c r="B18" s="75" t="s">
        <v>219</v>
      </c>
      <c r="C18" s="75" t="s">
        <v>259</v>
      </c>
      <c r="D18" s="1" t="s">
        <v>219</v>
      </c>
      <c r="E18" s="1" t="n">
        <v>0</v>
      </c>
      <c r="G18" s="1" t="n">
        <v>0</v>
      </c>
      <c r="H18" s="1" t="n">
        <v>1</v>
      </c>
      <c r="I18" s="1" t="n">
        <v>2</v>
      </c>
      <c r="J18" s="1" t="n">
        <v>3</v>
      </c>
      <c r="K18" s="75" t="s">
        <v>149</v>
      </c>
      <c r="L18" s="1" t="s">
        <v>273</v>
      </c>
      <c r="M18" s="73" t="str">
        <f aca="false">IF(OR(B18&lt;&gt;"Yielding",E18="",F18="",F18&lt;6),"",IF(D18="Heavy-3s",ROUND(E18*100/(40+6*F18)/1.1,1),ROUND(E18*100/(40+6*F18),1)))</f>
        <v/>
      </c>
    </row>
    <row r="19" customFormat="false" ht="15" hidden="false" customHeight="true" outlineLevel="0" collapsed="false">
      <c r="A19" s="74" t="n">
        <v>46161</v>
      </c>
      <c r="B19" s="75" t="s">
        <v>251</v>
      </c>
      <c r="C19" s="75" t="s">
        <v>267</v>
      </c>
      <c r="D19" s="1" t="s">
        <v>269</v>
      </c>
      <c r="E19" s="1" t="n">
        <v>25</v>
      </c>
      <c r="F19" s="1" t="n">
        <v>10</v>
      </c>
      <c r="G19" s="1" t="n">
        <v>3</v>
      </c>
      <c r="H19" s="1" t="n">
        <v>1</v>
      </c>
      <c r="I19" s="1" t="n">
        <v>4</v>
      </c>
      <c r="J19" s="1" t="n">
        <v>3</v>
      </c>
      <c r="K19" s="75" t="s">
        <v>149</v>
      </c>
      <c r="L19" s="1" t="s">
        <v>274</v>
      </c>
      <c r="M19" s="73" t="n">
        <f aca="false">IF(OR(B19&lt;&gt;"Yielding",E19="",F19="",F19&lt;6),"",IF(D19="Heavy-3s",ROUND(E19*100/(40+6*F19)/1.1,1),ROUND(E19*100/(40+6*F19),1)))</f>
        <v>25</v>
      </c>
    </row>
    <row r="20" customFormat="false" ht="15" hidden="false" customHeight="true" outlineLevel="0" collapsed="false">
      <c r="A20" s="74" t="n">
        <v>46166</v>
      </c>
      <c r="B20" s="75" t="s">
        <v>219</v>
      </c>
      <c r="C20" s="75" t="s">
        <v>259</v>
      </c>
      <c r="D20" s="1" t="s">
        <v>219</v>
      </c>
      <c r="E20" s="1" t="n">
        <v>0</v>
      </c>
      <c r="H20" s="1" t="n">
        <v>4</v>
      </c>
      <c r="I20" s="1" t="n">
        <v>6</v>
      </c>
      <c r="J20" s="1" t="n">
        <v>3</v>
      </c>
      <c r="K20" s="75" t="s">
        <v>149</v>
      </c>
      <c r="L20" s="1" t="s">
        <v>275</v>
      </c>
      <c r="M20" s="73" t="str">
        <f aca="false">IF(OR(B20&lt;&gt;"Yielding",E20="",F20="",F20&lt;6),"",IF(D20="Heavy-3s",ROUND(E20*100/(40+6*F20)/1.1,1),ROUND(E20*100/(40+6*F20),1)))</f>
        <v/>
      </c>
    </row>
    <row r="21" customFormat="false" ht="15.75" hidden="false" customHeight="true" outlineLevel="0" collapsed="false">
      <c r="A21" s="74" t="n">
        <v>46168</v>
      </c>
      <c r="B21" s="75" t="s">
        <v>251</v>
      </c>
      <c r="C21" s="75" t="s">
        <v>252</v>
      </c>
      <c r="D21" s="1" t="s">
        <v>269</v>
      </c>
      <c r="E21" s="1" t="n">
        <v>25</v>
      </c>
      <c r="F21" s="1" t="n">
        <v>9</v>
      </c>
      <c r="G21" s="1" t="n">
        <v>3</v>
      </c>
      <c r="H21" s="1" t="n">
        <v>3</v>
      </c>
      <c r="I21" s="1" t="n">
        <v>8</v>
      </c>
      <c r="J21" s="1" t="n">
        <v>4</v>
      </c>
      <c r="K21" s="75" t="s">
        <v>149</v>
      </c>
      <c r="L21" s="1" t="s">
        <v>276</v>
      </c>
      <c r="M21" s="73" t="n">
        <f aca="false">IF(OR(B21&lt;&gt;"Yielding",E21="",F21="",F21&lt;6),"",IF(D21="Heavy-3s",ROUND(E21*100/(40+6*F21)/1.1,1),ROUND(E21*100/(40+6*F21),1)))</f>
        <v>26.6</v>
      </c>
    </row>
    <row r="22" customFormat="false" ht="15.75" hidden="false" customHeight="true" outlineLevel="0" collapsed="false">
      <c r="A22" s="74" t="n">
        <v>46170</v>
      </c>
      <c r="B22" s="75" t="s">
        <v>219</v>
      </c>
      <c r="C22" s="75" t="s">
        <v>259</v>
      </c>
      <c r="D22" s="1" t="s">
        <v>219</v>
      </c>
      <c r="H22" s="1" t="n">
        <v>4</v>
      </c>
      <c r="I22" s="1" t="n">
        <v>5</v>
      </c>
      <c r="J22" s="1" t="n">
        <v>3</v>
      </c>
      <c r="K22" s="75" t="s">
        <v>149</v>
      </c>
      <c r="L22" s="1" t="s">
        <v>261</v>
      </c>
      <c r="M22" s="73" t="str">
        <f aca="false">IF(OR(B22&lt;&gt;"Yielding",E22="",F22="",F22&lt;6),"",IF(D22="Heavy-3s",ROUND(E22*100/(40+6*F22)/1.1,1),ROUND(E22*100/(40+6*F22),1)))</f>
        <v/>
      </c>
    </row>
    <row r="23" customFormat="false" ht="15.75" hidden="false" customHeight="true" outlineLevel="0" collapsed="false">
      <c r="A23" s="74" t="n">
        <v>46173</v>
      </c>
      <c r="B23" s="75" t="s">
        <v>251</v>
      </c>
      <c r="C23" s="75" t="s">
        <v>267</v>
      </c>
      <c r="D23" s="1" t="s">
        <v>271</v>
      </c>
      <c r="E23" s="1" t="n">
        <v>20</v>
      </c>
      <c r="F23" s="1" t="n">
        <v>7</v>
      </c>
      <c r="G23" s="1" t="n">
        <v>5</v>
      </c>
      <c r="H23" s="1" t="n">
        <v>2</v>
      </c>
      <c r="I23" s="1" t="n">
        <v>7</v>
      </c>
      <c r="J23" s="1" t="n">
        <v>3</v>
      </c>
      <c r="K23" s="75" t="s">
        <v>149</v>
      </c>
      <c r="L23" s="1" t="s">
        <v>277</v>
      </c>
      <c r="M23" s="73" t="n">
        <f aca="false">IF(OR(B23&lt;&gt;"Yielding",E23="",F23="",F23&lt;6),"",IF(D23="Heavy-3s",ROUND(E23*100/(40+6*F23)/1.1,1),ROUND(E23*100/(40+6*F23),1)))</f>
        <v>24.4</v>
      </c>
    </row>
    <row r="24" customFormat="false" ht="15.75" hidden="false" customHeight="true" outlineLevel="0" collapsed="false">
      <c r="B24" s="75"/>
      <c r="C24" s="75"/>
      <c r="K24" s="75"/>
      <c r="M24" s="73" t="str">
        <f aca="false">IF(OR(B24&lt;&gt;"Yielding",E24="",F24="",F24&lt;6),"",IF(D24="Heavy-3s",ROUND(E24*100/(40+6*F24)/1.1,1),ROUND(E24*100/(40+6*F24),1)))</f>
        <v/>
      </c>
    </row>
    <row r="25" customFormat="false" ht="15.75" hidden="false" customHeight="true" outlineLevel="0" collapsed="false">
      <c r="B25" s="75"/>
      <c r="C25" s="75"/>
      <c r="K25" s="75"/>
      <c r="M25" s="73" t="str">
        <f aca="false">IF(OR(B25&lt;&gt;"Yielding",E25="",F25="",F25&lt;6),"",IF(D25="Heavy-3s",ROUND(E25*100/(40+6*F25)/1.1,1),ROUND(E25*100/(40+6*F25),1)))</f>
        <v/>
      </c>
    </row>
    <row r="26" customFormat="false" ht="15.75" hidden="false" customHeight="true" outlineLevel="0" collapsed="false">
      <c r="B26" s="75"/>
      <c r="C26" s="75"/>
      <c r="K26" s="75"/>
      <c r="M26" s="73" t="str">
        <f aca="false">IF(OR(B26&lt;&gt;"Yielding",E26="",F26="",F26&lt;6),"",IF(D26="Heavy-3s",ROUND(E26*100/(40+6*F26)/1.1,1),ROUND(E26*100/(40+6*F26),1)))</f>
        <v/>
      </c>
    </row>
    <row r="27" customFormat="false" ht="15.75" hidden="false" customHeight="true" outlineLevel="0" collapsed="false">
      <c r="B27" s="75"/>
      <c r="C27" s="75"/>
      <c r="K27" s="75"/>
      <c r="M27" s="73" t="str">
        <f aca="false">IF(OR(B27&lt;&gt;"Yielding",E27="",F27="",F27&lt;6),"",IF(D27="Heavy-3s",ROUND(E27*100/(40+6*F27)/1.1,1),ROUND(E27*100/(40+6*F27),1)))</f>
        <v/>
      </c>
    </row>
    <row r="28" customFormat="false" ht="15.75" hidden="false" customHeight="true" outlineLevel="0" collapsed="false">
      <c r="B28" s="75"/>
      <c r="C28" s="75"/>
      <c r="K28" s="75"/>
      <c r="M28" s="73" t="str">
        <f aca="false">IF(OR(B28&lt;&gt;"Yielding",E28="",F28="",F28&lt;6),"",IF(D28="Heavy-3s",ROUND(E28*100/(40+6*F28)/1.1,1),ROUND(E28*100/(40+6*F28),1)))</f>
        <v/>
      </c>
    </row>
    <row r="29" customFormat="false" ht="15.75" hidden="false" customHeight="true" outlineLevel="0" collapsed="false">
      <c r="B29" s="75"/>
      <c r="C29" s="75"/>
      <c r="K29" s="75"/>
      <c r="M29" s="73" t="str">
        <f aca="false">IF(OR(B29&lt;&gt;"Yielding",E29="",F29="",F29&lt;6),"",IF(D29="Heavy-3s",ROUND(E29*100/(40+6*F29)/1.1,1),ROUND(E29*100/(40+6*F29),1)))</f>
        <v/>
      </c>
    </row>
    <row r="30" customFormat="false" ht="15.75" hidden="false" customHeight="true" outlineLevel="0" collapsed="false">
      <c r="B30" s="75"/>
      <c r="C30" s="75"/>
      <c r="K30" s="75"/>
      <c r="M30" s="73" t="str">
        <f aca="false">IF(OR(B30&lt;&gt;"Yielding",E30="",F30="",F30&lt;6),"",IF(D30="Heavy-3s",ROUND(E30*100/(40+6*F30)/1.1,1),ROUND(E30*100/(40+6*F30),1)))</f>
        <v/>
      </c>
    </row>
    <row r="31" customFormat="false" ht="15.75" hidden="false" customHeight="true" outlineLevel="0" collapsed="false">
      <c r="B31" s="75"/>
      <c r="C31" s="75"/>
      <c r="K31" s="75"/>
      <c r="M31" s="73" t="str">
        <f aca="false">IF(OR(B31&lt;&gt;"Yielding",E31="",F31="",F31&lt;6),"",IF(D31="Heavy-3s",ROUND(E31*100/(40+6*F31)/1.1,1),ROUND(E31*100/(40+6*F31),1)))</f>
        <v/>
      </c>
    </row>
    <row r="32" customFormat="false" ht="15.75" hidden="false" customHeight="true" outlineLevel="0" collapsed="false">
      <c r="B32" s="75"/>
      <c r="C32" s="75"/>
      <c r="K32" s="75"/>
      <c r="M32" s="73" t="str">
        <f aca="false">IF(OR(B32&lt;&gt;"Yielding",E32="",F32="",F32&lt;6),"",IF(D32="Heavy-3s",ROUND(E32*100/(40+6*F32)/1.1,1),ROUND(E32*100/(40+6*F32),1)))</f>
        <v/>
      </c>
    </row>
    <row r="33" customFormat="false" ht="15.75" hidden="false" customHeight="true" outlineLevel="0" collapsed="false">
      <c r="B33" s="75"/>
      <c r="C33" s="75"/>
      <c r="K33" s="75"/>
      <c r="M33" s="73" t="str">
        <f aca="false">IF(OR(B33&lt;&gt;"Yielding",E33="",F33="",F33&lt;6),"",IF(D33="Heavy-3s",ROUND(E33*100/(40+6*F33)/1.1,1),ROUND(E33*100/(40+6*F33),1)))</f>
        <v/>
      </c>
    </row>
    <row r="34" customFormat="false" ht="15.75" hidden="false" customHeight="true" outlineLevel="0" collapsed="false">
      <c r="B34" s="75"/>
      <c r="C34" s="75"/>
      <c r="K34" s="75"/>
      <c r="M34" s="73" t="str">
        <f aca="false">IF(OR(B34&lt;&gt;"Yielding",E34="",F34="",F34&lt;6),"",IF(D34="Heavy-3s",ROUND(E34*100/(40+6*F34)/1.1,1),ROUND(E34*100/(40+6*F34),1)))</f>
        <v/>
      </c>
    </row>
    <row r="35" customFormat="false" ht="15.75" hidden="false" customHeight="true" outlineLevel="0" collapsed="false">
      <c r="B35" s="75"/>
      <c r="C35" s="75"/>
      <c r="K35" s="75"/>
      <c r="M35" s="73" t="str">
        <f aca="false">IF(OR(B35&lt;&gt;"Yielding",E35="",F35="",F35&lt;6),"",IF(D35="Heavy-3s",ROUND(E35*100/(40+6*F35)/1.1,1),ROUND(E35*100/(40+6*F35),1)))</f>
        <v/>
      </c>
    </row>
    <row r="36" customFormat="false" ht="15.75" hidden="false" customHeight="true" outlineLevel="0" collapsed="false">
      <c r="B36" s="75"/>
      <c r="C36" s="75"/>
      <c r="K36" s="75"/>
      <c r="M36" s="73" t="str">
        <f aca="false">IF(OR(B36&lt;&gt;"Yielding",E36="",F36="",F36&lt;6),"",IF(D36="Heavy-3s",ROUND(E36*100/(40+6*F36)/1.1,1),ROUND(E36*100/(40+6*F36),1)))</f>
        <v/>
      </c>
    </row>
    <row r="37" customFormat="false" ht="15.75" hidden="false" customHeight="true" outlineLevel="0" collapsed="false">
      <c r="B37" s="75"/>
      <c r="C37" s="75"/>
      <c r="K37" s="75"/>
      <c r="M37" s="73" t="str">
        <f aca="false">IF(OR(B37&lt;&gt;"Yielding",E37="",F37="",F37&lt;6),"",IF(D37="Heavy-3s",ROUND(E37*100/(40+6*F37)/1.1,1),ROUND(E37*100/(40+6*F37),1)))</f>
        <v/>
      </c>
    </row>
    <row r="38" customFormat="false" ht="15.75" hidden="false" customHeight="true" outlineLevel="0" collapsed="false">
      <c r="B38" s="75"/>
      <c r="C38" s="75"/>
      <c r="K38" s="75"/>
      <c r="M38" s="73" t="str">
        <f aca="false">IF(OR(B38&lt;&gt;"Yielding",E38="",F38="",F38&lt;6),"",IF(D38="Heavy-3s",ROUND(E38*100/(40+6*F38)/1.1,1),ROUND(E38*100/(40+6*F38),1)))</f>
        <v/>
      </c>
    </row>
    <row r="39" customFormat="false" ht="15.75" hidden="false" customHeight="true" outlineLevel="0" collapsed="false">
      <c r="B39" s="75"/>
      <c r="C39" s="75"/>
      <c r="K39" s="75"/>
      <c r="M39" s="73" t="str">
        <f aca="false">IF(OR(B39&lt;&gt;"Yielding",E39="",F39="",F39&lt;6),"",IF(D39="Heavy-3s",ROUND(E39*100/(40+6*F39)/1.1,1),ROUND(E39*100/(40+6*F39),1)))</f>
        <v/>
      </c>
    </row>
    <row r="40" customFormat="false" ht="15.75" hidden="false" customHeight="true" outlineLevel="0" collapsed="false">
      <c r="B40" s="75"/>
      <c r="C40" s="75"/>
      <c r="K40" s="75"/>
      <c r="M40" s="73" t="str">
        <f aca="false">IF(OR(B40&lt;&gt;"Yielding",E40="",F40="",F40&lt;6),"",IF(D40="Heavy-3s",ROUND(E40*100/(40+6*F40)/1.1,1),ROUND(E40*100/(40+6*F40),1)))</f>
        <v/>
      </c>
    </row>
    <row r="41" customFormat="false" ht="15.75" hidden="false" customHeight="true" outlineLevel="0" collapsed="false">
      <c r="B41" s="75"/>
      <c r="C41" s="75"/>
      <c r="K41" s="75"/>
      <c r="M41" s="73" t="str">
        <f aca="false">IF(OR(B41&lt;&gt;"Yielding",E41="",F41="",F41&lt;6),"",IF(D41="Heavy-3s",ROUND(E41*100/(40+6*F41)/1.1,1),ROUND(E41*100/(40+6*F41),1)))</f>
        <v/>
      </c>
    </row>
    <row r="42" customFormat="false" ht="15.75" hidden="false" customHeight="true" outlineLevel="0" collapsed="false">
      <c r="B42" s="75"/>
      <c r="C42" s="75"/>
      <c r="K42" s="75"/>
      <c r="M42" s="73" t="str">
        <f aca="false">IF(OR(B42&lt;&gt;"Yielding",E42="",F42="",F42&lt;6),"",IF(D42="Heavy-3s",ROUND(E42*100/(40+6*F42)/1.1,1),ROUND(E42*100/(40+6*F42),1)))</f>
        <v/>
      </c>
    </row>
    <row r="43" customFormat="false" ht="15.75" hidden="false" customHeight="true" outlineLevel="0" collapsed="false">
      <c r="B43" s="75"/>
      <c r="C43" s="75"/>
      <c r="K43" s="75"/>
      <c r="M43" s="73" t="str">
        <f aca="false">IF(OR(B43&lt;&gt;"Yielding",E43="",F43="",F43&lt;6),"",IF(D43="Heavy-3s",ROUND(E43*100/(40+6*F43)/1.1,1),ROUND(E43*100/(40+6*F43),1)))</f>
        <v/>
      </c>
    </row>
    <row r="44" customFormat="false" ht="15.75" hidden="false" customHeight="true" outlineLevel="0" collapsed="false">
      <c r="B44" s="75"/>
      <c r="C44" s="75"/>
      <c r="K44" s="75"/>
      <c r="M44" s="73" t="str">
        <f aca="false">IF(OR(B44&lt;&gt;"Yielding",E44="",F44="",F44&lt;6),"",IF(D44="Heavy-3s",ROUND(E44*100/(40+6*F44)/1.1,1),ROUND(E44*100/(40+6*F44),1)))</f>
        <v/>
      </c>
    </row>
    <row r="45" customFormat="false" ht="15.75" hidden="false" customHeight="true" outlineLevel="0" collapsed="false">
      <c r="B45" s="75"/>
      <c r="C45" s="75"/>
      <c r="K45" s="75"/>
      <c r="M45" s="73" t="str">
        <f aca="false">IF(OR(B45&lt;&gt;"Yielding",E45="",F45="",F45&lt;6),"",IF(D45="Heavy-3s",ROUND(E45*100/(40+6*F45)/1.1,1),ROUND(E45*100/(40+6*F45),1)))</f>
        <v/>
      </c>
    </row>
    <row r="46" customFormat="false" ht="15.75" hidden="false" customHeight="true" outlineLevel="0" collapsed="false">
      <c r="B46" s="75"/>
      <c r="C46" s="75"/>
      <c r="K46" s="75"/>
      <c r="M46" s="73" t="str">
        <f aca="false">IF(OR(B46&lt;&gt;"Yielding",E46="",F46="",F46&lt;6),"",IF(D46="Heavy-3s",ROUND(E46*100/(40+6*F46)/1.1,1),ROUND(E46*100/(40+6*F46),1)))</f>
        <v/>
      </c>
    </row>
    <row r="47" customFormat="false" ht="15.75" hidden="false" customHeight="true" outlineLevel="0" collapsed="false">
      <c r="B47" s="75"/>
      <c r="C47" s="75"/>
      <c r="K47" s="75"/>
      <c r="M47" s="73" t="str">
        <f aca="false">IF(OR(B47&lt;&gt;"Yielding",E47="",F47="",F47&lt;6),"",IF(D47="Heavy-3s",ROUND(E47*100/(40+6*F47)/1.1,1),ROUND(E47*100/(40+6*F47),1)))</f>
        <v/>
      </c>
    </row>
    <row r="48" customFormat="false" ht="15.75" hidden="false" customHeight="true" outlineLevel="0" collapsed="false">
      <c r="B48" s="75"/>
      <c r="C48" s="75"/>
      <c r="K48" s="75"/>
      <c r="M48" s="73" t="str">
        <f aca="false">IF(OR(B48&lt;&gt;"Yielding",E48="",F48="",F48&lt;6),"",IF(D48="Heavy-3s",ROUND(E48*100/(40+6*F48)/1.1,1),ROUND(E48*100/(40+6*F48),1)))</f>
        <v/>
      </c>
    </row>
    <row r="49" customFormat="false" ht="15.75" hidden="false" customHeight="true" outlineLevel="0" collapsed="false">
      <c r="B49" s="75"/>
      <c r="C49" s="75"/>
      <c r="K49" s="75"/>
      <c r="M49" s="73" t="str">
        <f aca="false">IF(OR(B49&lt;&gt;"Yielding",E49="",F49="",F49&lt;6),"",IF(D49="Heavy-3s",ROUND(E49*100/(40+6*F49)/1.1,1),ROUND(E49*100/(40+6*F49),1)))</f>
        <v/>
      </c>
    </row>
    <row r="50" customFormat="false" ht="15.75" hidden="false" customHeight="true" outlineLevel="0" collapsed="false">
      <c r="B50" s="75"/>
      <c r="C50" s="75"/>
      <c r="K50" s="75"/>
      <c r="M50" s="73" t="str">
        <f aca="false">IF(OR(B50&lt;&gt;"Yielding",E50="",F50="",F50&lt;6),"",IF(D50="Heavy-3s",ROUND(E50*100/(40+6*F50)/1.1,1),ROUND(E50*100/(40+6*F50),1)))</f>
        <v/>
      </c>
    </row>
    <row r="51" customFormat="false" ht="15.75" hidden="false" customHeight="true" outlineLevel="0" collapsed="false">
      <c r="B51" s="75"/>
      <c r="C51" s="75"/>
      <c r="K51" s="75"/>
      <c r="M51" s="73" t="str">
        <f aca="false">IF(OR(B51&lt;&gt;"Yielding",E51="",F51="",F51&lt;6),"",IF(D51="Heavy-3s",ROUND(E51*100/(40+6*F51)/1.1,1),ROUND(E51*100/(40+6*F51),1)))</f>
        <v/>
      </c>
    </row>
    <row r="52" customFormat="false" ht="15.75" hidden="false" customHeight="true" outlineLevel="0" collapsed="false">
      <c r="B52" s="75"/>
      <c r="C52" s="75"/>
      <c r="K52" s="75"/>
      <c r="M52" s="73" t="str">
        <f aca="false">IF(OR(B52&lt;&gt;"Yielding",E52="",F52="",F52&lt;6),"",IF(D52="Heavy-3s",ROUND(E52*100/(40+6*F52)/1.1,1),ROUND(E52*100/(40+6*F52),1)))</f>
        <v/>
      </c>
    </row>
    <row r="53" customFormat="false" ht="15.75" hidden="false" customHeight="true" outlineLevel="0" collapsed="false">
      <c r="B53" s="75"/>
      <c r="C53" s="75"/>
      <c r="K53" s="75"/>
      <c r="M53" s="73" t="str">
        <f aca="false">IF(OR(B53&lt;&gt;"Yielding",E53="",F53="",F53&lt;6),"",IF(D53="Heavy-3s",ROUND(E53*100/(40+6*F53)/1.1,1),ROUND(E53*100/(40+6*F53),1)))</f>
        <v/>
      </c>
    </row>
    <row r="54" customFormat="false" ht="15.75" hidden="false" customHeight="true" outlineLevel="0" collapsed="false">
      <c r="B54" s="75"/>
      <c r="C54" s="75"/>
      <c r="K54" s="75"/>
      <c r="M54" s="73" t="str">
        <f aca="false">IF(OR(B54&lt;&gt;"Yielding",E54="",F54="",F54&lt;6),"",IF(D54="Heavy-3s",ROUND(E54*100/(40+6*F54)/1.1,1),ROUND(E54*100/(40+6*F54),1)))</f>
        <v/>
      </c>
    </row>
    <row r="55" customFormat="false" ht="15.75" hidden="false" customHeight="true" outlineLevel="0" collapsed="false">
      <c r="B55" s="75"/>
      <c r="C55" s="75"/>
      <c r="K55" s="75"/>
      <c r="M55" s="73" t="str">
        <f aca="false">IF(OR(B55&lt;&gt;"Yielding",E55="",F55="",F55&lt;6),"",IF(D55="Heavy-3s",ROUND(E55*100/(40+6*F55)/1.1,1),ROUND(E55*100/(40+6*F55),1)))</f>
        <v/>
      </c>
    </row>
    <row r="56" customFormat="false" ht="15.75" hidden="false" customHeight="true" outlineLevel="0" collapsed="false">
      <c r="B56" s="75"/>
      <c r="C56" s="75"/>
      <c r="K56" s="75"/>
      <c r="M56" s="73" t="str">
        <f aca="false">IF(OR(B56&lt;&gt;"Yielding",E56="",F56="",F56&lt;6),"",IF(D56="Heavy-3s",ROUND(E56*100/(40+6*F56)/1.1,1),ROUND(E56*100/(40+6*F56),1)))</f>
        <v/>
      </c>
    </row>
    <row r="57" customFormat="false" ht="15.75" hidden="false" customHeight="true" outlineLevel="0" collapsed="false">
      <c r="B57" s="75"/>
      <c r="C57" s="75"/>
      <c r="K57" s="75"/>
      <c r="M57" s="73" t="str">
        <f aca="false">IF(OR(B57&lt;&gt;"Yielding",E57="",F57="",F57&lt;6),"",IF(D57="Heavy-3s",ROUND(E57*100/(40+6*F57)/1.1,1),ROUND(E57*100/(40+6*F57),1)))</f>
        <v/>
      </c>
    </row>
    <row r="58" customFormat="false" ht="15.75" hidden="false" customHeight="true" outlineLevel="0" collapsed="false">
      <c r="B58" s="75"/>
      <c r="C58" s="75"/>
      <c r="K58" s="75"/>
      <c r="M58" s="73" t="str">
        <f aca="false">IF(OR(B58&lt;&gt;"Yielding",E58="",F58="",F58&lt;6),"",IF(D58="Heavy-3s",ROUND(E58*100/(40+6*F58)/1.1,1),ROUND(E58*100/(40+6*F58),1)))</f>
        <v/>
      </c>
    </row>
    <row r="59" customFormat="false" ht="15.75" hidden="false" customHeight="true" outlineLevel="0" collapsed="false">
      <c r="B59" s="75"/>
      <c r="C59" s="75"/>
      <c r="K59" s="75"/>
      <c r="M59" s="73" t="str">
        <f aca="false">IF(OR(B59&lt;&gt;"Yielding",E59="",F59="",F59&lt;6),"",IF(D59="Heavy-3s",ROUND(E59*100/(40+6*F59)/1.1,1),ROUND(E59*100/(40+6*F59),1)))</f>
        <v/>
      </c>
    </row>
    <row r="60" customFormat="false" ht="15.75" hidden="false" customHeight="true" outlineLevel="0" collapsed="false">
      <c r="B60" s="75"/>
      <c r="C60" s="75"/>
      <c r="K60" s="75"/>
      <c r="M60" s="73" t="str">
        <f aca="false">IF(OR(B60&lt;&gt;"Yielding",E60="",F60="",F60&lt;6),"",IF(D60="Heavy-3s",ROUND(E60*100/(40+6*F60)/1.1,1),ROUND(E60*100/(40+6*F60),1)))</f>
        <v/>
      </c>
    </row>
    <row r="61" customFormat="false" ht="15.75" hidden="false" customHeight="true" outlineLevel="0" collapsed="false">
      <c r="B61" s="75"/>
      <c r="C61" s="75"/>
      <c r="K61" s="75"/>
      <c r="M61" s="73" t="str">
        <f aca="false">IF(OR(B61&lt;&gt;"Yielding",E61="",F61="",F61&lt;6),"",IF(D61="Heavy-3s",ROUND(E61*100/(40+6*F61)/1.1,1),ROUND(E61*100/(40+6*F61),1)))</f>
        <v/>
      </c>
    </row>
    <row r="62" customFormat="false" ht="15.75" hidden="false" customHeight="true" outlineLevel="0" collapsed="false">
      <c r="B62" s="75"/>
      <c r="C62" s="75"/>
      <c r="K62" s="75"/>
      <c r="M62" s="73" t="str">
        <f aca="false">IF(OR(B62&lt;&gt;"Yielding",E62="",F62="",F62&lt;6),"",IF(D62="Heavy-3s",ROUND(E62*100/(40+6*F62)/1.1,1),ROUND(E62*100/(40+6*F62),1)))</f>
        <v/>
      </c>
    </row>
    <row r="63" customFormat="false" ht="15.75" hidden="false" customHeight="true" outlineLevel="0" collapsed="false">
      <c r="B63" s="75"/>
      <c r="C63" s="75"/>
      <c r="K63" s="75"/>
      <c r="M63" s="73" t="str">
        <f aca="false">IF(OR(B63&lt;&gt;"Yielding",E63="",F63="",F63&lt;6),"",IF(D63="Heavy-3s",ROUND(E63*100/(40+6*F63)/1.1,1),ROUND(E63*100/(40+6*F63),1)))</f>
        <v/>
      </c>
    </row>
    <row r="64" customFormat="false" ht="15.75" hidden="false" customHeight="true" outlineLevel="0" collapsed="false">
      <c r="B64" s="75"/>
      <c r="C64" s="75"/>
      <c r="K64" s="75"/>
      <c r="M64" s="73" t="str">
        <f aca="false">IF(OR(B64&lt;&gt;"Yielding",E64="",F64="",F64&lt;6),"",IF(D64="Heavy-3s",ROUND(E64*100/(40+6*F64)/1.1,1),ROUND(E64*100/(40+6*F64),1)))</f>
        <v/>
      </c>
    </row>
    <row r="65" customFormat="false" ht="15.75" hidden="false" customHeight="true" outlineLevel="0" collapsed="false">
      <c r="B65" s="75"/>
      <c r="C65" s="75"/>
      <c r="K65" s="75"/>
      <c r="M65" s="73" t="str">
        <f aca="false">IF(OR(B65&lt;&gt;"Yielding",E65="",F65="",F65&lt;6),"",IF(D65="Heavy-3s",ROUND(E65*100/(40+6*F65)/1.1,1),ROUND(E65*100/(40+6*F65),1)))</f>
        <v/>
      </c>
    </row>
    <row r="66" customFormat="false" ht="15.75" hidden="false" customHeight="true" outlineLevel="0" collapsed="false">
      <c r="B66" s="75"/>
      <c r="C66" s="75"/>
      <c r="K66" s="75"/>
      <c r="M66" s="73" t="str">
        <f aca="false">IF(OR(B66&lt;&gt;"Yielding",E66="",F66="",F66&lt;6),"",IF(D66="Heavy-3s",ROUND(E66*100/(40+6*F66)/1.1,1),ROUND(E66*100/(40+6*F66),1)))</f>
        <v/>
      </c>
    </row>
    <row r="67" customFormat="false" ht="15.75" hidden="false" customHeight="true" outlineLevel="0" collapsed="false">
      <c r="B67" s="75"/>
      <c r="C67" s="75"/>
      <c r="K67" s="75"/>
      <c r="M67" s="73" t="str">
        <f aca="false">IF(OR(B67&lt;&gt;"Yielding",E67="",F67="",F67&lt;6),"",IF(D67="Heavy-3s",ROUND(E67*100/(40+6*F67)/1.1,1),ROUND(E67*100/(40+6*F67),1)))</f>
        <v/>
      </c>
    </row>
    <row r="68" customFormat="false" ht="15.75" hidden="false" customHeight="true" outlineLevel="0" collapsed="false">
      <c r="B68" s="75"/>
      <c r="C68" s="75"/>
      <c r="K68" s="75"/>
      <c r="M68" s="73" t="str">
        <f aca="false">IF(OR(B68&lt;&gt;"Yielding",E68="",F68="",F68&lt;6),"",IF(D68="Heavy-3s",ROUND(E68*100/(40+6*F68)/1.1,1),ROUND(E68*100/(40+6*F68),1)))</f>
        <v/>
      </c>
    </row>
    <row r="69" customFormat="false" ht="15.75" hidden="false" customHeight="true" outlineLevel="0" collapsed="false">
      <c r="B69" s="75"/>
      <c r="C69" s="75"/>
      <c r="K69" s="75"/>
      <c r="M69" s="73" t="str">
        <f aca="false">IF(OR(B69&lt;&gt;"Yielding",E69="",F69="",F69&lt;6),"",IF(D69="Heavy-3s",ROUND(E69*100/(40+6*F69)/1.1,1),ROUND(E69*100/(40+6*F69),1)))</f>
        <v/>
      </c>
    </row>
    <row r="70" customFormat="false" ht="15.75" hidden="false" customHeight="true" outlineLevel="0" collapsed="false">
      <c r="B70" s="75"/>
      <c r="C70" s="75"/>
      <c r="K70" s="75"/>
      <c r="M70" s="73" t="str">
        <f aca="false">IF(OR(B70&lt;&gt;"Yielding",E70="",F70="",F70&lt;6),"",IF(D70="Heavy-3s",ROUND(E70*100/(40+6*F70)/1.1,1),ROUND(E70*100/(40+6*F70),1)))</f>
        <v/>
      </c>
    </row>
    <row r="71" customFormat="false" ht="15.75" hidden="false" customHeight="true" outlineLevel="0" collapsed="false">
      <c r="B71" s="75"/>
      <c r="C71" s="75"/>
      <c r="K71" s="75"/>
      <c r="M71" s="73" t="str">
        <f aca="false">IF(OR(B71&lt;&gt;"Yielding",E71="",F71="",F71&lt;6),"",IF(D71="Heavy-3s",ROUND(E71*100/(40+6*F71)/1.1,1),ROUND(E71*100/(40+6*F71),1)))</f>
        <v/>
      </c>
    </row>
    <row r="72" customFormat="false" ht="15.75" hidden="false" customHeight="true" outlineLevel="0" collapsed="false">
      <c r="B72" s="75"/>
      <c r="C72" s="75"/>
      <c r="K72" s="75"/>
      <c r="M72" s="73" t="str">
        <f aca="false">IF(OR(B72&lt;&gt;"Yielding",E72="",F72="",F72&lt;6),"",IF(D72="Heavy-3s",ROUND(E72*100/(40+6*F72)/1.1,1),ROUND(E72*100/(40+6*F72),1)))</f>
        <v/>
      </c>
    </row>
    <row r="73" customFormat="false" ht="15.75" hidden="false" customHeight="true" outlineLevel="0" collapsed="false">
      <c r="B73" s="75"/>
      <c r="C73" s="75"/>
      <c r="K73" s="75"/>
      <c r="M73" s="73" t="str">
        <f aca="false">IF(OR(B73&lt;&gt;"Yielding",E73="",F73="",F73&lt;6),"",IF(D73="Heavy-3s",ROUND(E73*100/(40+6*F73)/1.1,1),ROUND(E73*100/(40+6*F73),1)))</f>
        <v/>
      </c>
    </row>
    <row r="74" customFormat="false" ht="15.75" hidden="false" customHeight="true" outlineLevel="0" collapsed="false">
      <c r="B74" s="75"/>
      <c r="C74" s="75"/>
      <c r="K74" s="75"/>
      <c r="M74" s="73" t="str">
        <f aca="false">IF(OR(B74&lt;&gt;"Yielding",E74="",F74="",F74&lt;6),"",IF(D74="Heavy-3s",ROUND(E74*100/(40+6*F74)/1.1,1),ROUND(E74*100/(40+6*F74),1)))</f>
        <v/>
      </c>
    </row>
    <row r="75" customFormat="false" ht="15.75" hidden="false" customHeight="true" outlineLevel="0" collapsed="false">
      <c r="B75" s="75"/>
      <c r="C75" s="75"/>
      <c r="K75" s="75"/>
      <c r="M75" s="73" t="str">
        <f aca="false">IF(OR(B75&lt;&gt;"Yielding",E75="",F75="",F75&lt;6),"",IF(D75="Heavy-3s",ROUND(E75*100/(40+6*F75)/1.1,1),ROUND(E75*100/(40+6*F75),1)))</f>
        <v/>
      </c>
    </row>
    <row r="76" customFormat="false" ht="15.75" hidden="false" customHeight="true" outlineLevel="0" collapsed="false">
      <c r="B76" s="75"/>
      <c r="C76" s="75"/>
      <c r="K76" s="75"/>
      <c r="M76" s="73" t="str">
        <f aca="false">IF(OR(B76&lt;&gt;"Yielding",E76="",F76="",F76&lt;6),"",IF(D76="Heavy-3s",ROUND(E76*100/(40+6*F76)/1.1,1),ROUND(E76*100/(40+6*F76),1)))</f>
        <v/>
      </c>
    </row>
    <row r="77" customFormat="false" ht="15.75" hidden="false" customHeight="true" outlineLevel="0" collapsed="false">
      <c r="B77" s="75"/>
      <c r="C77" s="75"/>
      <c r="K77" s="75"/>
      <c r="M77" s="73" t="str">
        <f aca="false">IF(OR(B77&lt;&gt;"Yielding",E77="",F77="",F77&lt;6),"",IF(D77="Heavy-3s",ROUND(E77*100/(40+6*F77)/1.1,1),ROUND(E77*100/(40+6*F77),1)))</f>
        <v/>
      </c>
    </row>
    <row r="78" customFormat="false" ht="15.75" hidden="false" customHeight="true" outlineLevel="0" collapsed="false">
      <c r="B78" s="75"/>
      <c r="C78" s="75"/>
      <c r="K78" s="75"/>
      <c r="M78" s="73" t="str">
        <f aca="false">IF(OR(B78&lt;&gt;"Yielding",E78="",F78="",F78&lt;6),"",IF(D78="Heavy-3s",ROUND(E78*100/(40+6*F78)/1.1,1),ROUND(E78*100/(40+6*F78),1)))</f>
        <v/>
      </c>
    </row>
    <row r="79" customFormat="false" ht="15.75" hidden="false" customHeight="true" outlineLevel="0" collapsed="false">
      <c r="B79" s="75"/>
      <c r="C79" s="75"/>
      <c r="K79" s="75"/>
      <c r="M79" s="73" t="str">
        <f aca="false">IF(OR(B79&lt;&gt;"Yielding",E79="",F79="",F79&lt;6),"",IF(D79="Heavy-3s",ROUND(E79*100/(40+6*F79)/1.1,1),ROUND(E79*100/(40+6*F79),1)))</f>
        <v/>
      </c>
    </row>
    <row r="80" customFormat="false" ht="15.75" hidden="false" customHeight="true" outlineLevel="0" collapsed="false">
      <c r="B80" s="75"/>
      <c r="C80" s="75"/>
      <c r="K80" s="75"/>
      <c r="M80" s="73" t="str">
        <f aca="false">IF(OR(B80&lt;&gt;"Yielding",E80="",F80="",F80&lt;6),"",IF(D80="Heavy-3s",ROUND(E80*100/(40+6*F80)/1.1,1),ROUND(E80*100/(40+6*F80),1)))</f>
        <v/>
      </c>
    </row>
    <row r="81" customFormat="false" ht="15.75" hidden="false" customHeight="true" outlineLevel="0" collapsed="false">
      <c r="B81" s="75"/>
      <c r="C81" s="75"/>
      <c r="K81" s="75"/>
      <c r="M81" s="73" t="str">
        <f aca="false">IF(OR(B81&lt;&gt;"Yielding",E81="",F81="",F81&lt;6),"",IF(D81="Heavy-3s",ROUND(E81*100/(40+6*F81)/1.1,1),ROUND(E81*100/(40+6*F81),1)))</f>
        <v/>
      </c>
    </row>
    <row r="82" customFormat="false" ht="15.75" hidden="false" customHeight="true" outlineLevel="0" collapsed="false">
      <c r="B82" s="75"/>
      <c r="C82" s="75"/>
      <c r="K82" s="75"/>
      <c r="M82" s="73" t="str">
        <f aca="false">IF(OR(B82&lt;&gt;"Yielding",E82="",F82="",F82&lt;6),"",IF(D82="Heavy-3s",ROUND(E82*100/(40+6*F82)/1.1,1),ROUND(E82*100/(40+6*F82),1)))</f>
        <v/>
      </c>
    </row>
    <row r="83" customFormat="false" ht="15.75" hidden="false" customHeight="true" outlineLevel="0" collapsed="false">
      <c r="B83" s="75"/>
      <c r="C83" s="75"/>
      <c r="K83" s="75"/>
      <c r="M83" s="73" t="str">
        <f aca="false">IF(OR(B83&lt;&gt;"Yielding",E83="",F83="",F83&lt;6),"",IF(D83="Heavy-3s",ROUND(E83*100/(40+6*F83)/1.1,1),ROUND(E83*100/(40+6*F83),1)))</f>
        <v/>
      </c>
    </row>
    <row r="84" customFormat="false" ht="15.75" hidden="false" customHeight="true" outlineLevel="0" collapsed="false">
      <c r="B84" s="75"/>
      <c r="C84" s="75"/>
      <c r="K84" s="75"/>
      <c r="M84" s="73" t="str">
        <f aca="false">IF(OR(B84&lt;&gt;"Yielding",E84="",F84="",F84&lt;6),"",IF(D84="Heavy-3s",ROUND(E84*100/(40+6*F84)/1.1,1),ROUND(E84*100/(40+6*F84),1)))</f>
        <v/>
      </c>
    </row>
    <row r="85" customFormat="false" ht="15.75" hidden="false" customHeight="true" outlineLevel="0" collapsed="false">
      <c r="B85" s="75"/>
      <c r="C85" s="75"/>
      <c r="K85" s="75"/>
      <c r="M85" s="73" t="str">
        <f aca="false">IF(OR(B85&lt;&gt;"Yielding",E85="",F85="",F85&lt;6),"",IF(D85="Heavy-3s",ROUND(E85*100/(40+6*F85)/1.1,1),ROUND(E85*100/(40+6*F85),1)))</f>
        <v/>
      </c>
    </row>
    <row r="86" customFormat="false" ht="15.75" hidden="false" customHeight="true" outlineLevel="0" collapsed="false">
      <c r="B86" s="75"/>
      <c r="C86" s="75"/>
      <c r="K86" s="75"/>
      <c r="M86" s="73" t="str">
        <f aca="false">IF(OR(B86&lt;&gt;"Yielding",E86="",F86="",F86&lt;6),"",IF(D86="Heavy-3s",ROUND(E86*100/(40+6*F86)/1.1,1),ROUND(E86*100/(40+6*F86),1)))</f>
        <v/>
      </c>
    </row>
    <row r="87" customFormat="false" ht="15.75" hidden="false" customHeight="true" outlineLevel="0" collapsed="false">
      <c r="B87" s="75"/>
      <c r="C87" s="75"/>
      <c r="K87" s="75"/>
      <c r="M87" s="73" t="str">
        <f aca="false">IF(OR(B87&lt;&gt;"Yielding",E87="",F87="",F87&lt;6),"",IF(D87="Heavy-3s",ROUND(E87*100/(40+6*F87)/1.1,1),ROUND(E87*100/(40+6*F87),1)))</f>
        <v/>
      </c>
    </row>
    <row r="88" customFormat="false" ht="15.75" hidden="false" customHeight="true" outlineLevel="0" collapsed="false">
      <c r="B88" s="75"/>
      <c r="C88" s="75"/>
      <c r="K88" s="75"/>
      <c r="M88" s="73" t="str">
        <f aca="false">IF(OR(B88&lt;&gt;"Yielding",E88="",F88="",F88&lt;6),"",IF(D88="Heavy-3s",ROUND(E88*100/(40+6*F88)/1.1,1),ROUND(E88*100/(40+6*F88),1)))</f>
        <v/>
      </c>
    </row>
    <row r="89" customFormat="false" ht="15.75" hidden="false" customHeight="true" outlineLevel="0" collapsed="false">
      <c r="B89" s="75"/>
      <c r="C89" s="75"/>
      <c r="K89" s="75"/>
      <c r="M89" s="73" t="str">
        <f aca="false">IF(OR(B89&lt;&gt;"Yielding",E89="",F89="",F89&lt;6),"",IF(D89="Heavy-3s",ROUND(E89*100/(40+6*F89)/1.1,1),ROUND(E89*100/(40+6*F89),1)))</f>
        <v/>
      </c>
    </row>
    <row r="90" customFormat="false" ht="15.75" hidden="false" customHeight="true" outlineLevel="0" collapsed="false">
      <c r="B90" s="75"/>
      <c r="C90" s="75"/>
      <c r="K90" s="75"/>
      <c r="M90" s="73" t="str">
        <f aca="false">IF(OR(B90&lt;&gt;"Yielding",E90="",F90="",F90&lt;6),"",IF(D90="Heavy-3s",ROUND(E90*100/(40+6*F90)/1.1,1),ROUND(E90*100/(40+6*F90),1)))</f>
        <v/>
      </c>
    </row>
    <row r="91" customFormat="false" ht="15.75" hidden="false" customHeight="true" outlineLevel="0" collapsed="false">
      <c r="B91" s="75"/>
      <c r="C91" s="75"/>
      <c r="K91" s="75"/>
      <c r="M91" s="73" t="str">
        <f aca="false">IF(OR(B91&lt;&gt;"Yielding",E91="",F91="",F91&lt;6),"",IF(D91="Heavy-3s",ROUND(E91*100/(40+6*F91)/1.1,1),ROUND(E91*100/(40+6*F91),1)))</f>
        <v/>
      </c>
    </row>
    <row r="92" customFormat="false" ht="15.75" hidden="false" customHeight="true" outlineLevel="0" collapsed="false">
      <c r="B92" s="75"/>
      <c r="C92" s="75"/>
      <c r="K92" s="75"/>
      <c r="M92" s="73" t="str">
        <f aca="false">IF(OR(B92&lt;&gt;"Yielding",E92="",F92="",F92&lt;6),"",IF(D92="Heavy-3s",ROUND(E92*100/(40+6*F92)/1.1,1),ROUND(E92*100/(40+6*F92),1)))</f>
        <v/>
      </c>
    </row>
    <row r="93" customFormat="false" ht="15.75" hidden="false" customHeight="true" outlineLevel="0" collapsed="false">
      <c r="B93" s="75"/>
      <c r="C93" s="75"/>
      <c r="K93" s="75"/>
      <c r="M93" s="73" t="str">
        <f aca="false">IF(OR(B93&lt;&gt;"Yielding",E93="",F93="",F93&lt;6),"",IF(D93="Heavy-3s",ROUND(E93*100/(40+6*F93)/1.1,1),ROUND(E93*100/(40+6*F93),1)))</f>
        <v/>
      </c>
    </row>
    <row r="94" customFormat="false" ht="15.75" hidden="false" customHeight="true" outlineLevel="0" collapsed="false">
      <c r="B94" s="75"/>
      <c r="C94" s="75"/>
      <c r="K94" s="75"/>
      <c r="M94" s="73" t="str">
        <f aca="false">IF(OR(B94&lt;&gt;"Yielding",E94="",F94="",F94&lt;6),"",IF(D94="Heavy-3s",ROUND(E94*100/(40+6*F94)/1.1,1),ROUND(E94*100/(40+6*F94),1)))</f>
        <v/>
      </c>
    </row>
    <row r="95" customFormat="false" ht="15.75" hidden="false" customHeight="true" outlineLevel="0" collapsed="false">
      <c r="B95" s="75"/>
      <c r="C95" s="75"/>
      <c r="K95" s="75"/>
      <c r="M95" s="73" t="str">
        <f aca="false">IF(OR(B95&lt;&gt;"Yielding",E95="",F95="",F95&lt;6),"",IF(D95="Heavy-3s",ROUND(E95*100/(40+6*F95)/1.1,1),ROUND(E95*100/(40+6*F95),1)))</f>
        <v/>
      </c>
    </row>
    <row r="96" customFormat="false" ht="15.75" hidden="false" customHeight="true" outlineLevel="0" collapsed="false">
      <c r="B96" s="75"/>
      <c r="C96" s="75"/>
      <c r="K96" s="75"/>
      <c r="M96" s="73" t="str">
        <f aca="false">IF(OR(B96&lt;&gt;"Yielding",E96="",F96="",F96&lt;6),"",IF(D96="Heavy-3s",ROUND(E96*100/(40+6*F96)/1.1,1),ROUND(E96*100/(40+6*F96),1)))</f>
        <v/>
      </c>
    </row>
    <row r="97" customFormat="false" ht="15.75" hidden="false" customHeight="true" outlineLevel="0" collapsed="false">
      <c r="B97" s="75"/>
      <c r="C97" s="75"/>
      <c r="K97" s="75"/>
      <c r="M97" s="73" t="str">
        <f aca="false">IF(OR(B97&lt;&gt;"Yielding",E97="",F97="",F97&lt;6),"",IF(D97="Heavy-3s",ROUND(E97*100/(40+6*F97)/1.1,1),ROUND(E97*100/(40+6*F97),1)))</f>
        <v/>
      </c>
    </row>
    <row r="98" customFormat="false" ht="15.75" hidden="false" customHeight="true" outlineLevel="0" collapsed="false">
      <c r="B98" s="75"/>
      <c r="C98" s="75"/>
      <c r="K98" s="75"/>
      <c r="M98" s="73" t="str">
        <f aca="false">IF(OR(B98&lt;&gt;"Yielding",E98="",F98="",F98&lt;6),"",IF(D98="Heavy-3s",ROUND(E98*100/(40+6*F98)/1.1,1),ROUND(E98*100/(40+6*F98),1)))</f>
        <v/>
      </c>
    </row>
    <row r="99" customFormat="false" ht="15.75" hidden="false" customHeight="true" outlineLevel="0" collapsed="false">
      <c r="B99" s="75"/>
      <c r="C99" s="75"/>
      <c r="K99" s="75"/>
      <c r="M99" s="73" t="str">
        <f aca="false">IF(OR(B99&lt;&gt;"Yielding",E99="",F99="",F99&lt;6),"",IF(D99="Heavy-3s",ROUND(E99*100/(40+6*F99)/1.1,1),ROUND(E99*100/(40+6*F99),1)))</f>
        <v/>
      </c>
    </row>
    <row r="100" customFormat="false" ht="15.75" hidden="false" customHeight="true" outlineLevel="0" collapsed="false">
      <c r="B100" s="75"/>
      <c r="C100" s="75"/>
      <c r="K100" s="75"/>
      <c r="M100" s="73" t="str">
        <f aca="false">IF(OR(B100&lt;&gt;"Yielding",E100="",F100="",F100&lt;6),"",IF(D100="Heavy-3s",ROUND(E100*100/(40+6*F100)/1.1,1),ROUND(E100*100/(40+6*F100),1)))</f>
        <v/>
      </c>
    </row>
    <row r="101" customFormat="false" ht="15.75" hidden="false" customHeight="true" outlineLevel="0" collapsed="false">
      <c r="B101" s="75"/>
      <c r="C101" s="75"/>
      <c r="K101" s="75"/>
      <c r="M101" s="73" t="str">
        <f aca="false">IF(OR(B101&lt;&gt;"Yielding",E101="",F101="",F101&lt;6),"",IF(D101="Heavy-3s",ROUND(E101*100/(40+6*F101)/1.1,1),ROUND(E101*100/(40+6*F101),1)))</f>
        <v/>
      </c>
    </row>
    <row r="102" customFormat="false" ht="15.75" hidden="false" customHeight="true" outlineLevel="0" collapsed="false">
      <c r="B102" s="75"/>
      <c r="C102" s="75"/>
      <c r="K102" s="75"/>
      <c r="M102" s="73" t="str">
        <f aca="false">IF(OR(B102&lt;&gt;"Yielding",E102="",F102="",F102&lt;6),"",IF(D102="Heavy-3s",ROUND(E102*100/(40+6*F102)/1.1,1),ROUND(E102*100/(40+6*F102),1)))</f>
        <v/>
      </c>
    </row>
    <row r="103" customFormat="false" ht="15.75" hidden="false" customHeight="true" outlineLevel="0" collapsed="false">
      <c r="B103" s="75"/>
      <c r="C103" s="75"/>
      <c r="K103" s="75"/>
      <c r="M103" s="73" t="str">
        <f aca="false">IF(OR(B103&lt;&gt;"Yielding",E103="",F103="",F103&lt;6),"",IF(D103="Heavy-3s",ROUND(E103*100/(40+6*F103)/1.1,1),ROUND(E103*100/(40+6*F103),1)))</f>
        <v/>
      </c>
    </row>
    <row r="104" customFormat="false" ht="15.75" hidden="false" customHeight="true" outlineLevel="0" collapsed="false">
      <c r="B104" s="75"/>
      <c r="C104" s="75"/>
      <c r="K104" s="75"/>
      <c r="M104" s="73" t="str">
        <f aca="false">IF(OR(B104&lt;&gt;"Yielding",E104="",F104="",F104&lt;6),"",IF(D104="Heavy-3s",ROUND(E104*100/(40+6*F104)/1.1,1),ROUND(E104*100/(40+6*F104),1)))</f>
        <v/>
      </c>
    </row>
    <row r="105" customFormat="false" ht="15.75" hidden="false" customHeight="true" outlineLevel="0" collapsed="false">
      <c r="B105" s="75"/>
      <c r="C105" s="75"/>
      <c r="K105" s="75"/>
      <c r="M105" s="73" t="str">
        <f aca="false">IF(OR(B105&lt;&gt;"Yielding",E105="",F105="",F105&lt;6),"",IF(D105="Heavy-3s",ROUND(E105*100/(40+6*F105)/1.1,1),ROUND(E105*100/(40+6*F105),1)))</f>
        <v/>
      </c>
    </row>
    <row r="106" customFormat="false" ht="15.75" hidden="false" customHeight="true" outlineLevel="0" collapsed="false">
      <c r="B106" s="75"/>
      <c r="C106" s="75"/>
      <c r="K106" s="75"/>
      <c r="M106" s="73" t="str">
        <f aca="false">IF(OR(B106&lt;&gt;"Yielding",E106="",F106="",F106&lt;6),"",IF(D106="Heavy-3s",ROUND(E106*100/(40+6*F106)/1.1,1),ROUND(E106*100/(40+6*F106),1)))</f>
        <v/>
      </c>
    </row>
    <row r="107" customFormat="false" ht="15.75" hidden="false" customHeight="true" outlineLevel="0" collapsed="false">
      <c r="B107" s="75"/>
      <c r="C107" s="75"/>
      <c r="K107" s="75"/>
      <c r="M107" s="73" t="str">
        <f aca="false">IF(OR(B107&lt;&gt;"Yielding",E107="",F107="",F107&lt;6),"",IF(D107="Heavy-3s",ROUND(E107*100/(40+6*F107)/1.1,1),ROUND(E107*100/(40+6*F107),1)))</f>
        <v/>
      </c>
    </row>
    <row r="108" customFormat="false" ht="15.75" hidden="false" customHeight="true" outlineLevel="0" collapsed="false">
      <c r="B108" s="75"/>
      <c r="C108" s="75"/>
      <c r="K108" s="75"/>
      <c r="M108" s="73" t="str">
        <f aca="false">IF(OR(B108&lt;&gt;"Yielding",E108="",F108="",F108&lt;6),"",IF(D108="Heavy-3s",ROUND(E108*100/(40+6*F108)/1.1,1),ROUND(E108*100/(40+6*F108),1)))</f>
        <v/>
      </c>
    </row>
    <row r="109" customFormat="false" ht="15.75" hidden="false" customHeight="true" outlineLevel="0" collapsed="false">
      <c r="B109" s="75"/>
      <c r="C109" s="75"/>
      <c r="K109" s="75"/>
      <c r="M109" s="73" t="str">
        <f aca="false">IF(OR(B109&lt;&gt;"Yielding",E109="",F109="",F109&lt;6),"",IF(D109="Heavy-3s",ROUND(E109*100/(40+6*F109)/1.1,1),ROUND(E109*100/(40+6*F109),1)))</f>
        <v/>
      </c>
    </row>
    <row r="110" customFormat="false" ht="15.75" hidden="false" customHeight="true" outlineLevel="0" collapsed="false">
      <c r="B110" s="75"/>
      <c r="C110" s="75"/>
      <c r="K110" s="75"/>
      <c r="M110" s="73" t="str">
        <f aca="false">IF(OR(B110&lt;&gt;"Yielding",E110="",F110="",F110&lt;6),"",IF(D110="Heavy-3s",ROUND(E110*100/(40+6*F110)/1.1,1),ROUND(E110*100/(40+6*F110),1)))</f>
        <v/>
      </c>
    </row>
    <row r="111" customFormat="false" ht="15.75" hidden="false" customHeight="true" outlineLevel="0" collapsed="false">
      <c r="B111" s="75"/>
      <c r="C111" s="75"/>
      <c r="K111" s="75"/>
      <c r="M111" s="73" t="str">
        <f aca="false">IF(OR(B111&lt;&gt;"Yielding",E111="",F111="",F111&lt;6),"",IF(D111="Heavy-3s",ROUND(E111*100/(40+6*F111)/1.1,1),ROUND(E111*100/(40+6*F111),1)))</f>
        <v/>
      </c>
    </row>
    <row r="112" customFormat="false" ht="15.75" hidden="false" customHeight="true" outlineLevel="0" collapsed="false">
      <c r="B112" s="75"/>
      <c r="C112" s="75"/>
      <c r="K112" s="75"/>
      <c r="M112" s="73" t="str">
        <f aca="false">IF(OR(B112&lt;&gt;"Yielding",E112="",F112="",F112&lt;6),"",IF(D112="Heavy-3s",ROUND(E112*100/(40+6*F112)/1.1,1),ROUND(E112*100/(40+6*F112),1)))</f>
        <v/>
      </c>
    </row>
    <row r="113" customFormat="false" ht="15.75" hidden="false" customHeight="true" outlineLevel="0" collapsed="false">
      <c r="B113" s="75"/>
      <c r="C113" s="75"/>
      <c r="K113" s="75"/>
      <c r="M113" s="73" t="str">
        <f aca="false">IF(OR(B113&lt;&gt;"Yielding",E113="",F113="",F113&lt;6),"",IF(D113="Heavy-3s",ROUND(E113*100/(40+6*F113)/1.1,1),ROUND(E113*100/(40+6*F113),1)))</f>
        <v/>
      </c>
    </row>
    <row r="114" customFormat="false" ht="15.75" hidden="false" customHeight="true" outlineLevel="0" collapsed="false">
      <c r="B114" s="75"/>
      <c r="C114" s="75"/>
      <c r="K114" s="75"/>
      <c r="M114" s="73" t="str">
        <f aca="false">IF(OR(B114&lt;&gt;"Yielding",E114="",F114="",F114&lt;6),"",IF(D114="Heavy-3s",ROUND(E114*100/(40+6*F114)/1.1,1),ROUND(E114*100/(40+6*F114),1)))</f>
        <v/>
      </c>
    </row>
    <row r="115" customFormat="false" ht="15.75" hidden="false" customHeight="true" outlineLevel="0" collapsed="false">
      <c r="B115" s="75"/>
      <c r="C115" s="75"/>
      <c r="K115" s="75"/>
      <c r="M115" s="73" t="str">
        <f aca="false">IF(OR(B115&lt;&gt;"Yielding",E115="",F115="",F115&lt;6),"",IF(D115="Heavy-3s",ROUND(E115*100/(40+6*F115)/1.1,1),ROUND(E115*100/(40+6*F115),1)))</f>
        <v/>
      </c>
    </row>
    <row r="116" customFormat="false" ht="15.75" hidden="false" customHeight="true" outlineLevel="0" collapsed="false">
      <c r="B116" s="75"/>
      <c r="C116" s="75"/>
      <c r="K116" s="75"/>
      <c r="M116" s="73" t="str">
        <f aca="false">IF(OR(B116&lt;&gt;"Yielding",E116="",F116="",F116&lt;6),"",IF(D116="Heavy-3s",ROUND(E116*100/(40+6*F116)/1.1,1),ROUND(E116*100/(40+6*F116),1)))</f>
        <v/>
      </c>
    </row>
    <row r="117" customFormat="false" ht="15.75" hidden="false" customHeight="true" outlineLevel="0" collapsed="false">
      <c r="B117" s="75"/>
      <c r="C117" s="75"/>
      <c r="K117" s="75"/>
      <c r="M117" s="73" t="str">
        <f aca="false">IF(OR(B117&lt;&gt;"Yielding",E117="",F117="",F117&lt;6),"",IF(D117="Heavy-3s",ROUND(E117*100/(40+6*F117)/1.1,1),ROUND(E117*100/(40+6*F117),1)))</f>
        <v/>
      </c>
    </row>
    <row r="118" customFormat="false" ht="15.75" hidden="false" customHeight="true" outlineLevel="0" collapsed="false">
      <c r="B118" s="75"/>
      <c r="C118" s="75"/>
      <c r="K118" s="75"/>
      <c r="M118" s="73" t="str">
        <f aca="false">IF(OR(B118&lt;&gt;"Yielding",E118="",F118="",F118&lt;6),"",IF(D118="Heavy-3s",ROUND(E118*100/(40+6*F118)/1.1,1),ROUND(E118*100/(40+6*F118),1)))</f>
        <v/>
      </c>
    </row>
    <row r="119" customFormat="false" ht="15.75" hidden="false" customHeight="true" outlineLevel="0" collapsed="false">
      <c r="B119" s="75"/>
      <c r="C119" s="75"/>
      <c r="K119" s="75"/>
      <c r="M119" s="73" t="str">
        <f aca="false">IF(OR(B119&lt;&gt;"Yielding",E119="",F119="",F119&lt;6),"",IF(D119="Heavy-3s",ROUND(E119*100/(40+6*F119)/1.1,1),ROUND(E119*100/(40+6*F119),1)))</f>
        <v/>
      </c>
    </row>
    <row r="120" customFormat="false" ht="15.75" hidden="false" customHeight="true" outlineLevel="0" collapsed="false">
      <c r="B120" s="75"/>
      <c r="C120" s="75"/>
      <c r="K120" s="75"/>
      <c r="M120" s="73" t="str">
        <f aca="false">IF(OR(B120&lt;&gt;"Yielding",E120="",F120="",F120&lt;6),"",IF(D120="Heavy-3s",ROUND(E120*100/(40+6*F120)/1.1,1),ROUND(E120*100/(40+6*F120),1)))</f>
        <v/>
      </c>
    </row>
    <row r="121" customFormat="false" ht="15.75" hidden="false" customHeight="true" outlineLevel="0" collapsed="false">
      <c r="B121" s="75"/>
      <c r="C121" s="75"/>
      <c r="K121" s="75"/>
      <c r="M121" s="73" t="str">
        <f aca="false">IF(OR(B121&lt;&gt;"Yielding",E121="",F121="",F121&lt;6),"",IF(D121="Heavy-3s",ROUND(E121*100/(40+6*F121)/1.1,1),ROUND(E121*100/(40+6*F121),1)))</f>
        <v/>
      </c>
    </row>
    <row r="122" customFormat="false" ht="15.75" hidden="false" customHeight="true" outlineLevel="0" collapsed="false">
      <c r="B122" s="75"/>
      <c r="C122" s="75"/>
      <c r="K122" s="75"/>
      <c r="M122" s="73" t="str">
        <f aca="false">IF(OR(B122&lt;&gt;"Yielding",E122="",F122="",F122&lt;6),"",IF(D122="Heavy-3s",ROUND(E122*100/(40+6*F122)/1.1,1),ROUND(E122*100/(40+6*F122),1)))</f>
        <v/>
      </c>
    </row>
    <row r="123" customFormat="false" ht="15.75" hidden="false" customHeight="true" outlineLevel="0" collapsed="false">
      <c r="B123" s="75"/>
      <c r="C123" s="75"/>
      <c r="K123" s="75"/>
      <c r="M123" s="73" t="str">
        <f aca="false">IF(OR(B123&lt;&gt;"Yielding",E123="",F123="",F123&lt;6),"",IF(D123="Heavy-3s",ROUND(E123*100/(40+6*F123)/1.1,1),ROUND(E123*100/(40+6*F123),1)))</f>
        <v/>
      </c>
    </row>
    <row r="124" customFormat="false" ht="15.75" hidden="false" customHeight="true" outlineLevel="0" collapsed="false">
      <c r="B124" s="75"/>
      <c r="C124" s="75"/>
      <c r="K124" s="75"/>
      <c r="M124" s="73" t="str">
        <f aca="false">IF(OR(B124&lt;&gt;"Yielding",E124="",F124="",F124&lt;6),"",IF(D124="Heavy-3s",ROUND(E124*100/(40+6*F124)/1.1,1),ROUND(E124*100/(40+6*F124),1)))</f>
        <v/>
      </c>
    </row>
    <row r="125" customFormat="false" ht="15.75" hidden="false" customHeight="true" outlineLevel="0" collapsed="false">
      <c r="B125" s="75"/>
      <c r="C125" s="75"/>
      <c r="K125" s="75"/>
      <c r="M125" s="73" t="str">
        <f aca="false">IF(OR(B125&lt;&gt;"Yielding",E125="",F125="",F125&lt;6),"",IF(D125="Heavy-3s",ROUND(E125*100/(40+6*F125)/1.1,1),ROUND(E125*100/(40+6*F125),1)))</f>
        <v/>
      </c>
    </row>
    <row r="126" customFormat="false" ht="15.75" hidden="false" customHeight="true" outlineLevel="0" collapsed="false">
      <c r="B126" s="75"/>
      <c r="C126" s="75"/>
      <c r="K126" s="75"/>
      <c r="M126" s="73" t="str">
        <f aca="false">IF(OR(B126&lt;&gt;"Yielding",E126="",F126="",F126&lt;6),"",IF(D126="Heavy-3s",ROUND(E126*100/(40+6*F126)/1.1,1),ROUND(E126*100/(40+6*F126),1)))</f>
        <v/>
      </c>
    </row>
    <row r="127" customFormat="false" ht="15.75" hidden="false" customHeight="true" outlineLevel="0" collapsed="false">
      <c r="B127" s="75"/>
      <c r="C127" s="75"/>
      <c r="K127" s="75"/>
      <c r="M127" s="73" t="str">
        <f aca="false">IF(OR(B127&lt;&gt;"Yielding",E127="",F127="",F127&lt;6),"",IF(D127="Heavy-3s",ROUND(E127*100/(40+6*F127)/1.1,1),ROUND(E127*100/(40+6*F127),1)))</f>
        <v/>
      </c>
    </row>
    <row r="128" customFormat="false" ht="15.75" hidden="false" customHeight="true" outlineLevel="0" collapsed="false">
      <c r="B128" s="75"/>
      <c r="C128" s="75"/>
      <c r="K128" s="75"/>
      <c r="M128" s="73" t="str">
        <f aca="false">IF(OR(B128&lt;&gt;"Yielding",E128="",F128="",F128&lt;6),"",IF(D128="Heavy-3s",ROUND(E128*100/(40+6*F128)/1.1,1),ROUND(E128*100/(40+6*F128),1)))</f>
        <v/>
      </c>
    </row>
    <row r="129" customFormat="false" ht="15.75" hidden="false" customHeight="true" outlineLevel="0" collapsed="false">
      <c r="B129" s="75"/>
      <c r="C129" s="75"/>
      <c r="K129" s="75"/>
      <c r="M129" s="73" t="str">
        <f aca="false">IF(OR(B129&lt;&gt;"Yielding",E129="",F129="",F129&lt;6),"",IF(D129="Heavy-3s",ROUND(E129*100/(40+6*F129)/1.1,1),ROUND(E129*100/(40+6*F129),1)))</f>
        <v/>
      </c>
    </row>
    <row r="130" customFormat="false" ht="15.75" hidden="false" customHeight="true" outlineLevel="0" collapsed="false">
      <c r="B130" s="75"/>
      <c r="C130" s="75"/>
      <c r="K130" s="75"/>
      <c r="M130" s="73" t="str">
        <f aca="false">IF(OR(B130&lt;&gt;"Yielding",E130="",F130="",F130&lt;6),"",IF(D130="Heavy-3s",ROUND(E130*100/(40+6*F130)/1.1,1),ROUND(E130*100/(40+6*F130),1)))</f>
        <v/>
      </c>
    </row>
    <row r="131" customFormat="false" ht="15.75" hidden="false" customHeight="true" outlineLevel="0" collapsed="false">
      <c r="B131" s="75"/>
      <c r="C131" s="75"/>
      <c r="K131" s="75"/>
      <c r="M131" s="73" t="str">
        <f aca="false">IF(OR(B131&lt;&gt;"Yielding",E131="",F131="",F131&lt;6),"",IF(D131="Heavy-3s",ROUND(E131*100/(40+6*F131)/1.1,1),ROUND(E131*100/(40+6*F131),1)))</f>
        <v/>
      </c>
    </row>
    <row r="132" customFormat="false" ht="15.75" hidden="false" customHeight="true" outlineLevel="0" collapsed="false">
      <c r="B132" s="75"/>
      <c r="C132" s="75"/>
      <c r="K132" s="75"/>
      <c r="M132" s="73" t="str">
        <f aca="false">IF(OR(B132&lt;&gt;"Yielding",E132="",F132="",F132&lt;6),"",IF(D132="Heavy-3s",ROUND(E132*100/(40+6*F132)/1.1,1),ROUND(E132*100/(40+6*F132),1)))</f>
        <v/>
      </c>
    </row>
    <row r="133" customFormat="false" ht="15.75" hidden="false" customHeight="true" outlineLevel="0" collapsed="false">
      <c r="B133" s="75"/>
      <c r="C133" s="75"/>
      <c r="K133" s="75"/>
      <c r="M133" s="73" t="str">
        <f aca="false">IF(OR(B133&lt;&gt;"Yielding",E133="",F133="",F133&lt;6),"",IF(D133="Heavy-3s",ROUND(E133*100/(40+6*F133)/1.1,1),ROUND(E133*100/(40+6*F133),1)))</f>
        <v/>
      </c>
    </row>
    <row r="134" customFormat="false" ht="15.75" hidden="false" customHeight="true" outlineLevel="0" collapsed="false">
      <c r="B134" s="75"/>
      <c r="C134" s="75"/>
      <c r="K134" s="75"/>
      <c r="M134" s="73" t="str">
        <f aca="false">IF(OR(B134&lt;&gt;"Yielding",E134="",F134="",F134&lt;6),"",IF(D134="Heavy-3s",ROUND(E134*100/(40+6*F134)/1.1,1),ROUND(E134*100/(40+6*F134),1)))</f>
        <v/>
      </c>
    </row>
    <row r="135" customFormat="false" ht="15.75" hidden="false" customHeight="true" outlineLevel="0" collapsed="false">
      <c r="B135" s="75"/>
      <c r="C135" s="75"/>
      <c r="K135" s="75"/>
      <c r="M135" s="73" t="str">
        <f aca="false">IF(OR(B135&lt;&gt;"Yielding",E135="",F135="",F135&lt;6),"",IF(D135="Heavy-3s",ROUND(E135*100/(40+6*F135)/1.1,1),ROUND(E135*100/(40+6*F135),1)))</f>
        <v/>
      </c>
    </row>
    <row r="136" customFormat="false" ht="15.75" hidden="false" customHeight="true" outlineLevel="0" collapsed="false">
      <c r="B136" s="75"/>
      <c r="C136" s="75"/>
      <c r="K136" s="75"/>
      <c r="M136" s="73" t="str">
        <f aca="false">IF(OR(B136&lt;&gt;"Yielding",E136="",F136="",F136&lt;6),"",IF(D136="Heavy-3s",ROUND(E136*100/(40+6*F136)/1.1,1),ROUND(E136*100/(40+6*F136),1)))</f>
        <v/>
      </c>
    </row>
    <row r="137" customFormat="false" ht="15.75" hidden="false" customHeight="true" outlineLevel="0" collapsed="false">
      <c r="B137" s="75"/>
      <c r="C137" s="75"/>
      <c r="K137" s="75"/>
      <c r="M137" s="73" t="str">
        <f aca="false">IF(OR(B137&lt;&gt;"Yielding",E137="",F137="",F137&lt;6),"",IF(D137="Heavy-3s",ROUND(E137*100/(40+6*F137)/1.1,1),ROUND(E137*100/(40+6*F137),1)))</f>
        <v/>
      </c>
    </row>
    <row r="138" customFormat="false" ht="15.75" hidden="false" customHeight="true" outlineLevel="0" collapsed="false">
      <c r="B138" s="75"/>
      <c r="C138" s="75"/>
      <c r="K138" s="75"/>
      <c r="M138" s="73" t="str">
        <f aca="false">IF(OR(B138&lt;&gt;"Yielding",E138="",F138="",F138&lt;6),"",IF(D138="Heavy-3s",ROUND(E138*100/(40+6*F138)/1.1,1),ROUND(E138*100/(40+6*F138),1)))</f>
        <v/>
      </c>
    </row>
    <row r="139" customFormat="false" ht="15.75" hidden="false" customHeight="true" outlineLevel="0" collapsed="false">
      <c r="B139" s="75"/>
      <c r="C139" s="75"/>
      <c r="K139" s="75"/>
      <c r="M139" s="73" t="str">
        <f aca="false">IF(OR(B139&lt;&gt;"Yielding",E139="",F139="",F139&lt;6),"",IF(D139="Heavy-3s",ROUND(E139*100/(40+6*F139)/1.1,1),ROUND(E139*100/(40+6*F139),1)))</f>
        <v/>
      </c>
    </row>
    <row r="140" customFormat="false" ht="15.75" hidden="false" customHeight="true" outlineLevel="0" collapsed="false">
      <c r="B140" s="75"/>
      <c r="C140" s="75"/>
      <c r="K140" s="75"/>
      <c r="M140" s="73" t="str">
        <f aca="false">IF(OR(B140&lt;&gt;"Yielding",E140="",F140="",F140&lt;6),"",IF(D140="Heavy-3s",ROUND(E140*100/(40+6*F140)/1.1,1),ROUND(E140*100/(40+6*F140),1)))</f>
        <v/>
      </c>
    </row>
    <row r="141" customFormat="false" ht="15.75" hidden="false" customHeight="true" outlineLevel="0" collapsed="false">
      <c r="B141" s="75"/>
      <c r="C141" s="75"/>
      <c r="K141" s="75"/>
      <c r="M141" s="73" t="str">
        <f aca="false">IF(OR(B141&lt;&gt;"Yielding",E141="",F141="",F141&lt;6),"",IF(D141="Heavy-3s",ROUND(E141*100/(40+6*F141)/1.1,1),ROUND(E141*100/(40+6*F141),1)))</f>
        <v/>
      </c>
    </row>
    <row r="142" customFormat="false" ht="15.75" hidden="false" customHeight="true" outlineLevel="0" collapsed="false">
      <c r="B142" s="75"/>
      <c r="C142" s="75"/>
      <c r="K142" s="75"/>
      <c r="M142" s="73" t="str">
        <f aca="false">IF(OR(B142&lt;&gt;"Yielding",E142="",F142="",F142&lt;6),"",IF(D142="Heavy-3s",ROUND(E142*100/(40+6*F142)/1.1,1),ROUND(E142*100/(40+6*F142),1)))</f>
        <v/>
      </c>
    </row>
    <row r="143" customFormat="false" ht="15.75" hidden="false" customHeight="true" outlineLevel="0" collapsed="false">
      <c r="B143" s="75"/>
      <c r="C143" s="75"/>
      <c r="K143" s="75"/>
      <c r="M143" s="73" t="str">
        <f aca="false">IF(OR(B143&lt;&gt;"Yielding",E143="",F143="",F143&lt;6),"",IF(D143="Heavy-3s",ROUND(E143*100/(40+6*F143)/1.1,1),ROUND(E143*100/(40+6*F143),1)))</f>
        <v/>
      </c>
    </row>
    <row r="144" customFormat="false" ht="15.75" hidden="false" customHeight="true" outlineLevel="0" collapsed="false">
      <c r="B144" s="75"/>
      <c r="C144" s="75"/>
      <c r="K144" s="75"/>
      <c r="M144" s="73" t="str">
        <f aca="false">IF(OR(B144&lt;&gt;"Yielding",E144="",F144="",F144&lt;6),"",IF(D144="Heavy-3s",ROUND(E144*100/(40+6*F144)/1.1,1),ROUND(E144*100/(40+6*F144),1)))</f>
        <v/>
      </c>
    </row>
    <row r="145" customFormat="false" ht="15.75" hidden="false" customHeight="true" outlineLevel="0" collapsed="false">
      <c r="B145" s="75"/>
      <c r="C145" s="75"/>
      <c r="K145" s="75"/>
      <c r="M145" s="73" t="str">
        <f aca="false">IF(OR(B145&lt;&gt;"Yielding",E145="",F145="",F145&lt;6),"",IF(D145="Heavy-3s",ROUND(E145*100/(40+6*F145)/1.1,1),ROUND(E145*100/(40+6*F145),1)))</f>
        <v/>
      </c>
    </row>
    <row r="146" customFormat="false" ht="15.75" hidden="false" customHeight="true" outlineLevel="0" collapsed="false">
      <c r="B146" s="75"/>
      <c r="C146" s="75"/>
      <c r="K146" s="75"/>
      <c r="M146" s="73" t="str">
        <f aca="false">IF(OR(B146&lt;&gt;"Yielding",E146="",F146="",F146&lt;6),"",IF(D146="Heavy-3s",ROUND(E146*100/(40+6*F146)/1.1,1),ROUND(E146*100/(40+6*F146),1)))</f>
        <v/>
      </c>
    </row>
    <row r="147" customFormat="false" ht="15.75" hidden="false" customHeight="true" outlineLevel="0" collapsed="false">
      <c r="B147" s="75"/>
      <c r="C147" s="75"/>
      <c r="K147" s="75"/>
      <c r="M147" s="73" t="str">
        <f aca="false">IF(OR(B147&lt;&gt;"Yielding",E147="",F147="",F147&lt;6),"",IF(D147="Heavy-3s",ROUND(E147*100/(40+6*F147)/1.1,1),ROUND(E147*100/(40+6*F147),1)))</f>
        <v/>
      </c>
    </row>
    <row r="148" customFormat="false" ht="15.75" hidden="false" customHeight="true" outlineLevel="0" collapsed="false">
      <c r="B148" s="75"/>
      <c r="C148" s="75"/>
      <c r="K148" s="75"/>
      <c r="M148" s="73" t="str">
        <f aca="false">IF(OR(B148&lt;&gt;"Yielding",E148="",F148="",F148&lt;6),"",IF(D148="Heavy-3s",ROUND(E148*100/(40+6*F148)/1.1,1),ROUND(E148*100/(40+6*F148),1)))</f>
        <v/>
      </c>
    </row>
    <row r="149" customFormat="false" ht="15.75" hidden="false" customHeight="true" outlineLevel="0" collapsed="false">
      <c r="B149" s="75"/>
      <c r="C149" s="75"/>
      <c r="K149" s="75"/>
      <c r="M149" s="73" t="str">
        <f aca="false">IF(OR(B149&lt;&gt;"Yielding",E149="",F149="",F149&lt;6),"",IF(D149="Heavy-3s",ROUND(E149*100/(40+6*F149)/1.1,1),ROUND(E149*100/(40+6*F149),1)))</f>
        <v/>
      </c>
    </row>
    <row r="150" customFormat="false" ht="15.75" hidden="false" customHeight="true" outlineLevel="0" collapsed="false">
      <c r="B150" s="75"/>
      <c r="C150" s="75"/>
      <c r="K150" s="75"/>
      <c r="M150" s="73" t="str">
        <f aca="false">IF(OR(B150&lt;&gt;"Yielding",E150="",F150="",F150&lt;6),"",IF(D150="Heavy-3s",ROUND(E150*100/(40+6*F150)/1.1,1),ROUND(E150*100/(40+6*F150),1)))</f>
        <v/>
      </c>
    </row>
    <row r="151" customFormat="false" ht="15.75" hidden="false" customHeight="true" outlineLevel="0" collapsed="false">
      <c r="B151" s="75"/>
      <c r="C151" s="75"/>
      <c r="K151" s="75"/>
      <c r="M151" s="73" t="str">
        <f aca="false">IF(OR(B151&lt;&gt;"Yielding",E151="",F151="",F151&lt;6),"",IF(D151="Heavy-3s",ROUND(E151*100/(40+6*F151)/1.1,1),ROUND(E151*100/(40+6*F151),1)))</f>
        <v/>
      </c>
    </row>
    <row r="152" customFormat="false" ht="15.75" hidden="false" customHeight="true" outlineLevel="0" collapsed="false">
      <c r="B152" s="75"/>
      <c r="C152" s="75"/>
      <c r="K152" s="75"/>
      <c r="M152" s="73" t="str">
        <f aca="false">IF(OR(B152&lt;&gt;"Yielding",E152="",F152="",F152&lt;6),"",IF(D152="Heavy-3s",ROUND(E152*100/(40+6*F152)/1.1,1),ROUND(E152*100/(40+6*F152),1)))</f>
        <v/>
      </c>
    </row>
    <row r="153" customFormat="false" ht="15.75" hidden="false" customHeight="true" outlineLevel="0" collapsed="false">
      <c r="B153" s="75"/>
      <c r="C153" s="75"/>
      <c r="K153" s="75"/>
      <c r="M153" s="73" t="str">
        <f aca="false">IF(OR(B153&lt;&gt;"Yielding",E153="",F153="",F153&lt;6),"",IF(D153="Heavy-3s",ROUND(E153*100/(40+6*F153)/1.1,1),ROUND(E153*100/(40+6*F153),1)))</f>
        <v/>
      </c>
    </row>
    <row r="154" customFormat="false" ht="15.75" hidden="false" customHeight="true" outlineLevel="0" collapsed="false">
      <c r="B154" s="75"/>
      <c r="C154" s="75"/>
      <c r="K154" s="75"/>
      <c r="M154" s="73" t="str">
        <f aca="false">IF(OR(B154&lt;&gt;"Yielding",E154="",F154="",F154&lt;6),"",IF(D154="Heavy-3s",ROUND(E154*100/(40+6*F154)/1.1,1),ROUND(E154*100/(40+6*F154),1)))</f>
        <v/>
      </c>
    </row>
    <row r="155" customFormat="false" ht="15.75" hidden="false" customHeight="true" outlineLevel="0" collapsed="false">
      <c r="B155" s="75"/>
      <c r="C155" s="75"/>
      <c r="K155" s="75"/>
      <c r="M155" s="73" t="str">
        <f aca="false">IF(OR(B155&lt;&gt;"Yielding",E155="",F155="",F155&lt;6),"",IF(D155="Heavy-3s",ROUND(E155*100/(40+6*F155)/1.1,1),ROUND(E155*100/(40+6*F155),1)))</f>
        <v/>
      </c>
    </row>
    <row r="156" customFormat="false" ht="15.75" hidden="false" customHeight="true" outlineLevel="0" collapsed="false">
      <c r="B156" s="75"/>
      <c r="C156" s="75"/>
      <c r="K156" s="75"/>
      <c r="M156" s="73" t="str">
        <f aca="false">IF(OR(B156&lt;&gt;"Yielding",E156="",F156="",F156&lt;6),"",IF(D156="Heavy-3s",ROUND(E156*100/(40+6*F156)/1.1,1),ROUND(E156*100/(40+6*F156),1)))</f>
        <v/>
      </c>
    </row>
    <row r="157" customFormat="false" ht="15.75" hidden="false" customHeight="true" outlineLevel="0" collapsed="false">
      <c r="B157" s="75"/>
      <c r="C157" s="75"/>
      <c r="K157" s="75"/>
      <c r="M157" s="73" t="str">
        <f aca="false">IF(OR(B157&lt;&gt;"Yielding",E157="",F157="",F157&lt;6),"",IF(D157="Heavy-3s",ROUND(E157*100/(40+6*F157)/1.1,1),ROUND(E157*100/(40+6*F157),1)))</f>
        <v/>
      </c>
    </row>
    <row r="158" customFormat="false" ht="15.75" hidden="false" customHeight="true" outlineLevel="0" collapsed="false">
      <c r="B158" s="75"/>
      <c r="C158" s="75"/>
      <c r="K158" s="75"/>
      <c r="M158" s="73" t="str">
        <f aca="false">IF(OR(B158&lt;&gt;"Yielding",E158="",F158="",F158&lt;6),"",IF(D158="Heavy-3s",ROUND(E158*100/(40+6*F158)/1.1,1),ROUND(E158*100/(40+6*F158),1)))</f>
        <v/>
      </c>
    </row>
    <row r="159" customFormat="false" ht="15.75" hidden="false" customHeight="true" outlineLevel="0" collapsed="false">
      <c r="B159" s="75"/>
      <c r="C159" s="75"/>
      <c r="K159" s="75"/>
      <c r="M159" s="73" t="str">
        <f aca="false">IF(OR(B159&lt;&gt;"Yielding",E159="",F159="",F159&lt;6),"",IF(D159="Heavy-3s",ROUND(E159*100/(40+6*F159)/1.1,1),ROUND(E159*100/(40+6*F159),1)))</f>
        <v/>
      </c>
    </row>
    <row r="160" customFormat="false" ht="15.75" hidden="false" customHeight="true" outlineLevel="0" collapsed="false">
      <c r="B160" s="75"/>
      <c r="C160" s="75"/>
      <c r="K160" s="75"/>
      <c r="M160" s="73" t="str">
        <f aca="false">IF(OR(B160&lt;&gt;"Yielding",E160="",F160="",F160&lt;6),"",IF(D160="Heavy-3s",ROUND(E160*100/(40+6*F160)/1.1,1),ROUND(E160*100/(40+6*F160),1)))</f>
        <v/>
      </c>
    </row>
    <row r="161" customFormat="false" ht="15.75" hidden="false" customHeight="true" outlineLevel="0" collapsed="false">
      <c r="B161" s="75"/>
      <c r="C161" s="75"/>
      <c r="K161" s="75"/>
      <c r="M161" s="73" t="str">
        <f aca="false">IF(OR(B161&lt;&gt;"Yielding",E161="",F161="",F161&lt;6),"",IF(D161="Heavy-3s",ROUND(E161*100/(40+6*F161)/1.1,1),ROUND(E161*100/(40+6*F161),1)))</f>
        <v/>
      </c>
    </row>
    <row r="162" customFormat="false" ht="15.75" hidden="false" customHeight="true" outlineLevel="0" collapsed="false">
      <c r="B162" s="75"/>
      <c r="C162" s="75"/>
      <c r="K162" s="75"/>
      <c r="M162" s="73" t="str">
        <f aca="false">IF(OR(B162&lt;&gt;"Yielding",E162="",F162="",F162&lt;6),"",IF(D162="Heavy-3s",ROUND(E162*100/(40+6*F162)/1.1,1),ROUND(E162*100/(40+6*F162),1)))</f>
        <v/>
      </c>
    </row>
    <row r="163" customFormat="false" ht="15.75" hidden="false" customHeight="true" outlineLevel="0" collapsed="false">
      <c r="B163" s="75"/>
      <c r="C163" s="75"/>
      <c r="K163" s="75"/>
      <c r="M163" s="73" t="str">
        <f aca="false">IF(OR(B163&lt;&gt;"Yielding",E163="",F163="",F163&lt;6),"",IF(D163="Heavy-3s",ROUND(E163*100/(40+6*F163)/1.1,1),ROUND(E163*100/(40+6*F163),1)))</f>
        <v/>
      </c>
    </row>
    <row r="164" customFormat="false" ht="15.75" hidden="false" customHeight="true" outlineLevel="0" collapsed="false">
      <c r="B164" s="75"/>
      <c r="C164" s="75"/>
      <c r="K164" s="75"/>
      <c r="M164" s="73" t="str">
        <f aca="false">IF(OR(B164&lt;&gt;"Yielding",E164="",F164="",F164&lt;6),"",IF(D164="Heavy-3s",ROUND(E164*100/(40+6*F164)/1.1,1),ROUND(E164*100/(40+6*F164),1)))</f>
        <v/>
      </c>
    </row>
    <row r="165" customFormat="false" ht="15.75" hidden="false" customHeight="true" outlineLevel="0" collapsed="false">
      <c r="B165" s="75"/>
      <c r="C165" s="75"/>
      <c r="K165" s="75"/>
      <c r="M165" s="73" t="str">
        <f aca="false">IF(OR(B165&lt;&gt;"Yielding",E165="",F165="",F165&lt;6),"",IF(D165="Heavy-3s",ROUND(E165*100/(40+6*F165)/1.1,1),ROUND(E165*100/(40+6*F165),1)))</f>
        <v/>
      </c>
    </row>
    <row r="166" customFormat="false" ht="15.75" hidden="false" customHeight="true" outlineLevel="0" collapsed="false">
      <c r="B166" s="75"/>
      <c r="C166" s="75"/>
      <c r="K166" s="75"/>
      <c r="M166" s="73" t="str">
        <f aca="false">IF(OR(B166&lt;&gt;"Yielding",E166="",F166="",F166&lt;6),"",IF(D166="Heavy-3s",ROUND(E166*100/(40+6*F166)/1.1,1),ROUND(E166*100/(40+6*F166),1)))</f>
        <v/>
      </c>
    </row>
    <row r="167" customFormat="false" ht="15.75" hidden="false" customHeight="true" outlineLevel="0" collapsed="false">
      <c r="B167" s="75"/>
      <c r="C167" s="75"/>
      <c r="K167" s="75"/>
      <c r="M167" s="73" t="str">
        <f aca="false">IF(OR(B167&lt;&gt;"Yielding",E167="",F167="",F167&lt;6),"",IF(D167="Heavy-3s",ROUND(E167*100/(40+6*F167)/1.1,1),ROUND(E167*100/(40+6*F167),1)))</f>
        <v/>
      </c>
    </row>
    <row r="168" customFormat="false" ht="15.75" hidden="false" customHeight="true" outlineLevel="0" collapsed="false">
      <c r="B168" s="75"/>
      <c r="C168" s="75"/>
      <c r="K168" s="75"/>
      <c r="M168" s="73" t="str">
        <f aca="false">IF(OR(B168&lt;&gt;"Yielding",E168="",F168="",F168&lt;6),"",IF(D168="Heavy-3s",ROUND(E168*100/(40+6*F168)/1.1,1),ROUND(E168*100/(40+6*F168),1)))</f>
        <v/>
      </c>
    </row>
    <row r="169" customFormat="false" ht="15.75" hidden="false" customHeight="true" outlineLevel="0" collapsed="false">
      <c r="B169" s="75"/>
      <c r="C169" s="75"/>
      <c r="K169" s="75"/>
      <c r="M169" s="73" t="str">
        <f aca="false">IF(OR(B169&lt;&gt;"Yielding",E169="",F169="",F169&lt;6),"",IF(D169="Heavy-3s",ROUND(E169*100/(40+6*F169)/1.1,1),ROUND(E169*100/(40+6*F169),1)))</f>
        <v/>
      </c>
    </row>
    <row r="170" customFormat="false" ht="15.75" hidden="false" customHeight="true" outlineLevel="0" collapsed="false">
      <c r="B170" s="75"/>
      <c r="C170" s="75"/>
      <c r="K170" s="75"/>
      <c r="M170" s="73" t="str">
        <f aca="false">IF(OR(B170&lt;&gt;"Yielding",E170="",F170="",F170&lt;6),"",IF(D170="Heavy-3s",ROUND(E170*100/(40+6*F170)/1.1,1),ROUND(E170*100/(40+6*F170),1)))</f>
        <v/>
      </c>
    </row>
    <row r="171" customFormat="false" ht="15.75" hidden="false" customHeight="true" outlineLevel="0" collapsed="false">
      <c r="B171" s="75"/>
      <c r="C171" s="75"/>
      <c r="K171" s="75"/>
      <c r="M171" s="73" t="str">
        <f aca="false">IF(OR(B171&lt;&gt;"Yielding",E171="",F171="",F171&lt;6),"",IF(D171="Heavy-3s",ROUND(E171*100/(40+6*F171)/1.1,1),ROUND(E171*100/(40+6*F171),1)))</f>
        <v/>
      </c>
    </row>
    <row r="172" customFormat="false" ht="15.75" hidden="false" customHeight="true" outlineLevel="0" collapsed="false">
      <c r="B172" s="75"/>
      <c r="C172" s="75"/>
      <c r="K172" s="75"/>
      <c r="M172" s="73" t="str">
        <f aca="false">IF(OR(B172&lt;&gt;"Yielding",E172="",F172="",F172&lt;6),"",IF(D172="Heavy-3s",ROUND(E172*100/(40+6*F172)/1.1,1),ROUND(E172*100/(40+6*F172),1)))</f>
        <v/>
      </c>
    </row>
    <row r="173" customFormat="false" ht="15.75" hidden="false" customHeight="true" outlineLevel="0" collapsed="false">
      <c r="B173" s="75"/>
      <c r="C173" s="75"/>
      <c r="K173" s="75"/>
      <c r="M173" s="73" t="str">
        <f aca="false">IF(OR(B173&lt;&gt;"Yielding",E173="",F173="",F173&lt;6),"",IF(D173="Heavy-3s",ROUND(E173*100/(40+6*F173)/1.1,1),ROUND(E173*100/(40+6*F173),1)))</f>
        <v/>
      </c>
    </row>
    <row r="174" customFormat="false" ht="15.75" hidden="false" customHeight="true" outlineLevel="0" collapsed="false">
      <c r="B174" s="75"/>
      <c r="C174" s="75"/>
      <c r="K174" s="75"/>
      <c r="M174" s="73" t="str">
        <f aca="false">IF(OR(B174&lt;&gt;"Yielding",E174="",F174="",F174&lt;6),"",IF(D174="Heavy-3s",ROUND(E174*100/(40+6*F174)/1.1,1),ROUND(E174*100/(40+6*F174),1)))</f>
        <v/>
      </c>
    </row>
    <row r="175" customFormat="false" ht="15.75" hidden="false" customHeight="true" outlineLevel="0" collapsed="false">
      <c r="B175" s="75"/>
      <c r="C175" s="75"/>
      <c r="K175" s="75"/>
      <c r="M175" s="73" t="str">
        <f aca="false">IF(OR(B175&lt;&gt;"Yielding",E175="",F175="",F175&lt;6),"",IF(D175="Heavy-3s",ROUND(E175*100/(40+6*F175)/1.1,1),ROUND(E175*100/(40+6*F175),1)))</f>
        <v/>
      </c>
    </row>
    <row r="176" customFormat="false" ht="15.75" hidden="false" customHeight="true" outlineLevel="0" collapsed="false">
      <c r="B176" s="75"/>
      <c r="C176" s="75"/>
      <c r="K176" s="75"/>
      <c r="M176" s="73" t="str">
        <f aca="false">IF(OR(B176&lt;&gt;"Yielding",E176="",F176="",F176&lt;6),"",IF(D176="Heavy-3s",ROUND(E176*100/(40+6*F176)/1.1,1),ROUND(E176*100/(40+6*F176),1)))</f>
        <v/>
      </c>
    </row>
    <row r="177" customFormat="false" ht="15.75" hidden="false" customHeight="true" outlineLevel="0" collapsed="false">
      <c r="B177" s="75"/>
      <c r="C177" s="75"/>
      <c r="K177" s="75"/>
      <c r="M177" s="73" t="str">
        <f aca="false">IF(OR(B177&lt;&gt;"Yielding",E177="",F177="",F177&lt;6),"",IF(D177="Heavy-3s",ROUND(E177*100/(40+6*F177)/1.1,1),ROUND(E177*100/(40+6*F177),1)))</f>
        <v/>
      </c>
    </row>
    <row r="178" customFormat="false" ht="15.75" hidden="false" customHeight="true" outlineLevel="0" collapsed="false">
      <c r="B178" s="75"/>
      <c r="C178" s="75"/>
      <c r="K178" s="75"/>
      <c r="M178" s="73" t="str">
        <f aca="false">IF(OR(B178&lt;&gt;"Yielding",E178="",F178="",F178&lt;6),"",IF(D178="Heavy-3s",ROUND(E178*100/(40+6*F178)/1.1,1),ROUND(E178*100/(40+6*F178),1)))</f>
        <v/>
      </c>
    </row>
    <row r="179" customFormat="false" ht="15.75" hidden="false" customHeight="true" outlineLevel="0" collapsed="false">
      <c r="B179" s="75"/>
      <c r="C179" s="75"/>
      <c r="K179" s="75"/>
      <c r="M179" s="73" t="str">
        <f aca="false">IF(OR(B179&lt;&gt;"Yielding",E179="",F179="",F179&lt;6),"",IF(D179="Heavy-3s",ROUND(E179*100/(40+6*F179)/1.1,1),ROUND(E179*100/(40+6*F179),1)))</f>
        <v/>
      </c>
    </row>
    <row r="180" customFormat="false" ht="15.75" hidden="false" customHeight="true" outlineLevel="0" collapsed="false">
      <c r="B180" s="75"/>
      <c r="C180" s="75"/>
      <c r="K180" s="75"/>
      <c r="M180" s="73" t="str">
        <f aca="false">IF(OR(B180&lt;&gt;"Yielding",E180="",F180="",F180&lt;6),"",IF(D180="Heavy-3s",ROUND(E180*100/(40+6*F180)/1.1,1),ROUND(E180*100/(40+6*F180),1)))</f>
        <v/>
      </c>
    </row>
    <row r="181" customFormat="false" ht="15.75" hidden="false" customHeight="true" outlineLevel="0" collapsed="false">
      <c r="B181" s="75"/>
      <c r="C181" s="75"/>
      <c r="K181" s="75"/>
      <c r="M181" s="73" t="str">
        <f aca="false">IF(OR(B181&lt;&gt;"Yielding",E181="",F181="",F181&lt;6),"",IF(D181="Heavy-3s",ROUND(E181*100/(40+6*F181)/1.1,1),ROUND(E181*100/(40+6*F181),1)))</f>
        <v/>
      </c>
    </row>
    <row r="182" customFormat="false" ht="15.75" hidden="false" customHeight="true" outlineLevel="0" collapsed="false">
      <c r="B182" s="75"/>
      <c r="C182" s="75"/>
      <c r="K182" s="75"/>
      <c r="M182" s="73" t="str">
        <f aca="false">IF(OR(B182&lt;&gt;"Yielding",E182="",F182="",F182&lt;6),"",IF(D182="Heavy-3s",ROUND(E182*100/(40+6*F182)/1.1,1),ROUND(E182*100/(40+6*F182),1)))</f>
        <v/>
      </c>
    </row>
    <row r="183" customFormat="false" ht="15.75" hidden="false" customHeight="true" outlineLevel="0" collapsed="false">
      <c r="B183" s="75"/>
      <c r="C183" s="75"/>
      <c r="K183" s="75"/>
      <c r="M183" s="73" t="str">
        <f aca="false">IF(OR(B183&lt;&gt;"Yielding",E183="",F183="",F183&lt;6),"",IF(D183="Heavy-3s",ROUND(E183*100/(40+6*F183)/1.1,1),ROUND(E183*100/(40+6*F183),1)))</f>
        <v/>
      </c>
    </row>
    <row r="184" customFormat="false" ht="15.75" hidden="false" customHeight="true" outlineLevel="0" collapsed="false">
      <c r="B184" s="75"/>
      <c r="C184" s="75"/>
      <c r="K184" s="75"/>
      <c r="M184" s="73" t="str">
        <f aca="false">IF(OR(B184&lt;&gt;"Yielding",E184="",F184="",F184&lt;6),"",IF(D184="Heavy-3s",ROUND(E184*100/(40+6*F184)/1.1,1),ROUND(E184*100/(40+6*F184),1)))</f>
        <v/>
      </c>
    </row>
    <row r="185" customFormat="false" ht="15.75" hidden="false" customHeight="true" outlineLevel="0" collapsed="false">
      <c r="B185" s="75"/>
      <c r="C185" s="75"/>
      <c r="K185" s="75"/>
      <c r="M185" s="73" t="str">
        <f aca="false">IF(OR(B185&lt;&gt;"Yielding",E185="",F185="",F185&lt;6),"",IF(D185="Heavy-3s",ROUND(E185*100/(40+6*F185)/1.1,1),ROUND(E185*100/(40+6*F185),1)))</f>
        <v/>
      </c>
    </row>
    <row r="186" customFormat="false" ht="15.75" hidden="false" customHeight="true" outlineLevel="0" collapsed="false">
      <c r="B186" s="75"/>
      <c r="C186" s="75"/>
      <c r="K186" s="75"/>
      <c r="M186" s="73" t="str">
        <f aca="false">IF(OR(B186&lt;&gt;"Yielding",E186="",F186="",F186&lt;6),"",IF(D186="Heavy-3s",ROUND(E186*100/(40+6*F186)/1.1,1),ROUND(E186*100/(40+6*F186),1)))</f>
        <v/>
      </c>
    </row>
    <row r="187" customFormat="false" ht="15.75" hidden="false" customHeight="true" outlineLevel="0" collapsed="false">
      <c r="B187" s="75"/>
      <c r="C187" s="75"/>
      <c r="K187" s="75"/>
      <c r="M187" s="73" t="str">
        <f aca="false">IF(OR(B187&lt;&gt;"Yielding",E187="",F187="",F187&lt;6),"",IF(D187="Heavy-3s",ROUND(E187*100/(40+6*F187)/1.1,1),ROUND(E187*100/(40+6*F187),1)))</f>
        <v/>
      </c>
    </row>
    <row r="188" customFormat="false" ht="15.75" hidden="false" customHeight="true" outlineLevel="0" collapsed="false">
      <c r="B188" s="75"/>
      <c r="C188" s="75"/>
      <c r="K188" s="75"/>
      <c r="M188" s="73" t="str">
        <f aca="false">IF(OR(B188&lt;&gt;"Yielding",E188="",F188="",F188&lt;6),"",IF(D188="Heavy-3s",ROUND(E188*100/(40+6*F188)/1.1,1),ROUND(E188*100/(40+6*F188),1)))</f>
        <v/>
      </c>
    </row>
    <row r="189" customFormat="false" ht="15.75" hidden="false" customHeight="true" outlineLevel="0" collapsed="false">
      <c r="B189" s="75"/>
      <c r="C189" s="75"/>
      <c r="K189" s="75"/>
      <c r="M189" s="73" t="str">
        <f aca="false">IF(OR(B189&lt;&gt;"Yielding",E189="",F189="",F189&lt;6),"",IF(D189="Heavy-3s",ROUND(E189*100/(40+6*F189)/1.1,1),ROUND(E189*100/(40+6*F189),1)))</f>
        <v/>
      </c>
    </row>
    <row r="190" customFormat="false" ht="15.75" hidden="false" customHeight="true" outlineLevel="0" collapsed="false">
      <c r="B190" s="75"/>
      <c r="C190" s="75"/>
      <c r="K190" s="75"/>
      <c r="M190" s="73" t="str">
        <f aca="false">IF(OR(B190&lt;&gt;"Yielding",E190="",F190="",F190&lt;6),"",IF(D190="Heavy-3s",ROUND(E190*100/(40+6*F190)/1.1,1),ROUND(E190*100/(40+6*F190),1)))</f>
        <v/>
      </c>
    </row>
    <row r="191" customFormat="false" ht="15.75" hidden="false" customHeight="true" outlineLevel="0" collapsed="false">
      <c r="B191" s="75"/>
      <c r="C191" s="75"/>
      <c r="K191" s="75"/>
      <c r="M191" s="73" t="str">
        <f aca="false">IF(OR(B191&lt;&gt;"Yielding",E191="",F191="",F191&lt;6),"",IF(D191="Heavy-3s",ROUND(E191*100/(40+6*F191)/1.1,1),ROUND(E191*100/(40+6*F191),1)))</f>
        <v/>
      </c>
    </row>
    <row r="192" customFormat="false" ht="15.75" hidden="false" customHeight="true" outlineLevel="0" collapsed="false">
      <c r="B192" s="75"/>
      <c r="C192" s="75"/>
      <c r="K192" s="75"/>
      <c r="M192" s="73" t="str">
        <f aca="false">IF(OR(B192&lt;&gt;"Yielding",E192="",F192="",F192&lt;6),"",IF(D192="Heavy-3s",ROUND(E192*100/(40+6*F192)/1.1,1),ROUND(E192*100/(40+6*F192),1)))</f>
        <v/>
      </c>
    </row>
    <row r="193" customFormat="false" ht="15.75" hidden="false" customHeight="true" outlineLevel="0" collapsed="false">
      <c r="B193" s="75"/>
      <c r="C193" s="75"/>
      <c r="K193" s="75"/>
      <c r="M193" s="73" t="str">
        <f aca="false">IF(OR(B193&lt;&gt;"Yielding",E193="",F193="",F193&lt;6),"",IF(D193="Heavy-3s",ROUND(E193*100/(40+6*F193)/1.1,1),ROUND(E193*100/(40+6*F193),1)))</f>
        <v/>
      </c>
    </row>
    <row r="194" customFormat="false" ht="15.75" hidden="false" customHeight="true" outlineLevel="0" collapsed="false">
      <c r="B194" s="75"/>
      <c r="C194" s="75"/>
      <c r="K194" s="75"/>
      <c r="M194" s="73" t="str">
        <f aca="false">IF(OR(B194&lt;&gt;"Yielding",E194="",F194="",F194&lt;6),"",IF(D194="Heavy-3s",ROUND(E194*100/(40+6*F194)/1.1,1),ROUND(E194*100/(40+6*F194),1)))</f>
        <v/>
      </c>
    </row>
    <row r="195" customFormat="false" ht="15.75" hidden="false" customHeight="true" outlineLevel="0" collapsed="false">
      <c r="B195" s="75"/>
      <c r="C195" s="75"/>
      <c r="K195" s="75"/>
      <c r="M195" s="73" t="str">
        <f aca="false">IF(OR(B195&lt;&gt;"Yielding",E195="",F195="",F195&lt;6),"",IF(D195="Heavy-3s",ROUND(E195*100/(40+6*F195)/1.1,1),ROUND(E195*100/(40+6*F195),1)))</f>
        <v/>
      </c>
    </row>
    <row r="196" customFormat="false" ht="15.75" hidden="false" customHeight="true" outlineLevel="0" collapsed="false">
      <c r="B196" s="75"/>
      <c r="C196" s="75"/>
      <c r="K196" s="75"/>
      <c r="M196" s="73" t="str">
        <f aca="false">IF(OR(B196&lt;&gt;"Yielding",E196="",F196="",F196&lt;6),"",IF(D196="Heavy-3s",ROUND(E196*100/(40+6*F196)/1.1,1),ROUND(E196*100/(40+6*F196),1)))</f>
        <v/>
      </c>
    </row>
    <row r="197" customFormat="false" ht="15.75" hidden="false" customHeight="true" outlineLevel="0" collapsed="false">
      <c r="B197" s="75"/>
      <c r="C197" s="75"/>
      <c r="K197" s="75"/>
      <c r="M197" s="73" t="str">
        <f aca="false">IF(OR(B197&lt;&gt;"Yielding",E197="",F197="",F197&lt;6),"",IF(D197="Heavy-3s",ROUND(E197*100/(40+6*F197)/1.1,1),ROUND(E197*100/(40+6*F197),1)))</f>
        <v/>
      </c>
    </row>
    <row r="198" customFormat="false" ht="15.75" hidden="false" customHeight="true" outlineLevel="0" collapsed="false">
      <c r="B198" s="75"/>
      <c r="C198" s="75"/>
      <c r="K198" s="75"/>
      <c r="M198" s="73" t="str">
        <f aca="false">IF(OR(B198&lt;&gt;"Yielding",E198="",F198="",F198&lt;6),"",IF(D198="Heavy-3s",ROUND(E198*100/(40+6*F198)/1.1,1),ROUND(E198*100/(40+6*F198),1)))</f>
        <v/>
      </c>
    </row>
    <row r="199" customFormat="false" ht="15.75" hidden="false" customHeight="true" outlineLevel="0" collapsed="false">
      <c r="B199" s="75"/>
      <c r="C199" s="75"/>
      <c r="K199" s="75"/>
      <c r="M199" s="73" t="str">
        <f aca="false">IF(OR(B199&lt;&gt;"Yielding",E199="",F199="",F199&lt;6),"",IF(D199="Heavy-3s",ROUND(E199*100/(40+6*F199)/1.1,1),ROUND(E199*100/(40+6*F199),1)))</f>
        <v/>
      </c>
    </row>
    <row r="200" customFormat="false" ht="15.75" hidden="false" customHeight="true" outlineLevel="0" collapsed="false">
      <c r="B200" s="75"/>
      <c r="C200" s="75"/>
      <c r="K200" s="75"/>
      <c r="M200" s="73" t="str">
        <f aca="false">IF(OR(B200&lt;&gt;"Yielding",E200="",F200="",F200&lt;6),"",IF(D200="Heavy-3s",ROUND(E200*100/(40+6*F200)/1.1,1),ROUND(E200*100/(40+6*F200),1)))</f>
        <v/>
      </c>
    </row>
    <row r="201" customFormat="false" ht="15.75" hidden="false" customHeight="true" outlineLevel="0" collapsed="false">
      <c r="B201" s="75"/>
      <c r="C201" s="75"/>
      <c r="K201" s="75"/>
      <c r="M201" s="73" t="str">
        <f aca="false">IF(OR(B201&lt;&gt;"Yielding",E201="",F201="",F201&lt;6),"",IF(D201="Heavy-3s",ROUND(E201*100/(40+6*F201)/1.1,1),ROUND(E201*100/(40+6*F201),1)))</f>
        <v/>
      </c>
    </row>
    <row r="202" customFormat="false" ht="15.75" hidden="false" customHeight="true" outlineLevel="0" collapsed="false">
      <c r="B202" s="75"/>
      <c r="C202" s="75"/>
      <c r="K202" s="75"/>
      <c r="M202" s="73" t="str">
        <f aca="false">IF(OR(B202&lt;&gt;"Yielding",E202="",F202="",F202&lt;6),"",IF(D202="Heavy-3s",ROUND(E202*100/(40+6*F202)/1.1,1),ROUND(E202*100/(40+6*F202),1)))</f>
        <v/>
      </c>
    </row>
    <row r="203" customFormat="false" ht="15.75" hidden="false" customHeight="true" outlineLevel="0" collapsed="false">
      <c r="B203" s="75"/>
      <c r="C203" s="75"/>
      <c r="K203" s="75"/>
      <c r="M203" s="73" t="str">
        <f aca="false">IF(OR(B203&lt;&gt;"Yielding",E203="",F203="",F203&lt;6),"",IF(D203="Heavy-3s",ROUND(E203*100/(40+6*F203)/1.1,1),ROUND(E203*100/(40+6*F203),1)))</f>
        <v/>
      </c>
    </row>
    <row r="204" customFormat="false" ht="15.75" hidden="false" customHeight="true" outlineLevel="0" collapsed="false">
      <c r="B204" s="75"/>
      <c r="C204" s="75"/>
      <c r="K204" s="75"/>
      <c r="M204" s="73" t="str">
        <f aca="false">IF(OR(B204&lt;&gt;"Yielding",E204="",F204="",F204&lt;6),"",IF(D204="Heavy-3s",ROUND(E204*100/(40+6*F204)/1.1,1),ROUND(E204*100/(40+6*F204),1)))</f>
        <v/>
      </c>
    </row>
    <row r="205" customFormat="false" ht="15.75" hidden="false" customHeight="true" outlineLevel="0" collapsed="false">
      <c r="B205" s="75"/>
      <c r="C205" s="75"/>
      <c r="K205" s="75"/>
      <c r="M205" s="73" t="str">
        <f aca="false">IF(OR(B205&lt;&gt;"Yielding",E205="",F205="",F205&lt;6),"",IF(D205="Heavy-3s",ROUND(E205*100/(40+6*F205)/1.1,1),ROUND(E205*100/(40+6*F205),1)))</f>
        <v/>
      </c>
    </row>
    <row r="206" customFormat="false" ht="15.75" hidden="false" customHeight="true" outlineLevel="0" collapsed="false">
      <c r="B206" s="75"/>
      <c r="C206" s="75"/>
      <c r="K206" s="75"/>
      <c r="M206" s="73" t="str">
        <f aca="false">IF(OR(B206&lt;&gt;"Yielding",E206="",F206="",F206&lt;6),"",IF(D206="Heavy-3s",ROUND(E206*100/(40+6*F206)/1.1,1),ROUND(E206*100/(40+6*F206),1)))</f>
        <v/>
      </c>
    </row>
    <row r="207" customFormat="false" ht="15.75" hidden="false" customHeight="true" outlineLevel="0" collapsed="false">
      <c r="B207" s="75"/>
      <c r="C207" s="75"/>
      <c r="K207" s="75"/>
      <c r="M207" s="73" t="str">
        <f aca="false">IF(OR(B207&lt;&gt;"Yielding",E207="",F207="",F207&lt;6),"",IF(D207="Heavy-3s",ROUND(E207*100/(40+6*F207)/1.1,1),ROUND(E207*100/(40+6*F207),1)))</f>
        <v/>
      </c>
    </row>
    <row r="208" customFormat="false" ht="15.75" hidden="false" customHeight="true" outlineLevel="0" collapsed="false">
      <c r="B208" s="75"/>
      <c r="C208" s="75"/>
      <c r="K208" s="75"/>
      <c r="M208" s="73" t="str">
        <f aca="false">IF(OR(B208&lt;&gt;"Yielding",E208="",F208="",F208&lt;6),"",IF(D208="Heavy-3s",ROUND(E208*100/(40+6*F208)/1.1,1),ROUND(E208*100/(40+6*F208),1)))</f>
        <v/>
      </c>
    </row>
    <row r="209" customFormat="false" ht="15.75" hidden="false" customHeight="true" outlineLevel="0" collapsed="false">
      <c r="B209" s="75"/>
      <c r="C209" s="75"/>
      <c r="K209" s="75"/>
      <c r="M209" s="73" t="str">
        <f aca="false">IF(OR(B209&lt;&gt;"Yielding",E209="",F209="",F209&lt;6),"",IF(D209="Heavy-3s",ROUND(E209*100/(40+6*F209)/1.1,1),ROUND(E209*100/(40+6*F209),1)))</f>
        <v/>
      </c>
    </row>
    <row r="210" customFormat="false" ht="15.75" hidden="false" customHeight="true" outlineLevel="0" collapsed="false">
      <c r="B210" s="75"/>
      <c r="C210" s="75"/>
      <c r="K210" s="75"/>
      <c r="M210" s="73" t="str">
        <f aca="false">IF(OR(B210&lt;&gt;"Yielding",E210="",F210="",F210&lt;6),"",IF(D210="Heavy-3s",ROUND(E210*100/(40+6*F210)/1.1,1),ROUND(E210*100/(40+6*F210),1)))</f>
        <v/>
      </c>
    </row>
    <row r="211" customFormat="false" ht="15.75" hidden="false" customHeight="true" outlineLevel="0" collapsed="false">
      <c r="B211" s="75"/>
      <c r="C211" s="75"/>
      <c r="K211" s="75"/>
      <c r="M211" s="73" t="str">
        <f aca="false">IF(OR(B211&lt;&gt;"Yielding",E211="",F211="",F211&lt;6),"",IF(D211="Heavy-3s",ROUND(E211*100/(40+6*F211)/1.1,1),ROUND(E211*100/(40+6*F211),1)))</f>
        <v/>
      </c>
    </row>
    <row r="212" customFormat="false" ht="15.75" hidden="false" customHeight="true" outlineLevel="0" collapsed="false">
      <c r="B212" s="75"/>
      <c r="C212" s="75"/>
      <c r="K212" s="75"/>
      <c r="M212" s="73" t="str">
        <f aca="false">IF(OR(B212&lt;&gt;"Yielding",E212="",F212="",F212&lt;6),"",IF(D212="Heavy-3s",ROUND(E212*100/(40+6*F212)/1.1,1),ROUND(E212*100/(40+6*F212),1)))</f>
        <v/>
      </c>
    </row>
    <row r="213" customFormat="false" ht="15.75" hidden="false" customHeight="true" outlineLevel="0" collapsed="false">
      <c r="B213" s="75"/>
      <c r="C213" s="75"/>
      <c r="K213" s="75"/>
      <c r="M213" s="73" t="str">
        <f aca="false">IF(OR(B213&lt;&gt;"Yielding",E213="",F213="",F213&lt;6),"",IF(D213="Heavy-3s",ROUND(E213*100/(40+6*F213)/1.1,1),ROUND(E213*100/(40+6*F213),1)))</f>
        <v/>
      </c>
    </row>
    <row r="214" customFormat="false" ht="15.75" hidden="false" customHeight="true" outlineLevel="0" collapsed="false">
      <c r="B214" s="75"/>
      <c r="C214" s="75"/>
      <c r="K214" s="75"/>
      <c r="M214" s="73" t="str">
        <f aca="false">IF(OR(B214&lt;&gt;"Yielding",E214="",F214="",F214&lt;6),"",IF(D214="Heavy-3s",ROUND(E214*100/(40+6*F214)/1.1,1),ROUND(E214*100/(40+6*F214),1)))</f>
        <v/>
      </c>
    </row>
    <row r="215" customFormat="false" ht="15.75" hidden="false" customHeight="true" outlineLevel="0" collapsed="false">
      <c r="B215" s="75"/>
      <c r="C215" s="75"/>
      <c r="K215" s="75"/>
      <c r="M215" s="73" t="str">
        <f aca="false">IF(OR(B215&lt;&gt;"Yielding",E215="",F215="",F215&lt;6),"",IF(D215="Heavy-3s",ROUND(E215*100/(40+6*F215)/1.1,1),ROUND(E215*100/(40+6*F215),1)))</f>
        <v/>
      </c>
    </row>
    <row r="216" customFormat="false" ht="15.75" hidden="false" customHeight="true" outlineLevel="0" collapsed="false">
      <c r="B216" s="75"/>
      <c r="C216" s="75"/>
      <c r="K216" s="75"/>
      <c r="M216" s="73" t="str">
        <f aca="false">IF(OR(B216&lt;&gt;"Yielding",E216="",F216="",F216&lt;6),"",IF(D216="Heavy-3s",ROUND(E216*100/(40+6*F216)/1.1,1),ROUND(E216*100/(40+6*F216),1)))</f>
        <v/>
      </c>
    </row>
    <row r="217" customFormat="false" ht="15.75" hidden="false" customHeight="true" outlineLevel="0" collapsed="false">
      <c r="B217" s="75"/>
      <c r="C217" s="75"/>
      <c r="K217" s="75"/>
      <c r="M217" s="73" t="str">
        <f aca="false">IF(OR(B217&lt;&gt;"Yielding",E217="",F217="",F217&lt;6),"",IF(D217="Heavy-3s",ROUND(E217*100/(40+6*F217)/1.1,1),ROUND(E217*100/(40+6*F217),1)))</f>
        <v/>
      </c>
    </row>
    <row r="218" customFormat="false" ht="15.75" hidden="false" customHeight="true" outlineLevel="0" collapsed="false">
      <c r="B218" s="75"/>
      <c r="C218" s="75"/>
      <c r="K218" s="75"/>
      <c r="M218" s="73" t="str">
        <f aca="false">IF(OR(B218&lt;&gt;"Yielding",E218="",F218="",F218&lt;6),"",IF(D218="Heavy-3s",ROUND(E218*100/(40+6*F218)/1.1,1),ROUND(E218*100/(40+6*F218),1)))</f>
        <v/>
      </c>
    </row>
    <row r="219" customFormat="false" ht="15.75" hidden="false" customHeight="true" outlineLevel="0" collapsed="false">
      <c r="B219" s="75"/>
      <c r="C219" s="75"/>
      <c r="K219" s="75"/>
      <c r="M219" s="73" t="str">
        <f aca="false">IF(OR(B219&lt;&gt;"Yielding",E219="",F219="",F219&lt;6),"",IF(D219="Heavy-3s",ROUND(E219*100/(40+6*F219)/1.1,1),ROUND(E219*100/(40+6*F219),1)))</f>
        <v/>
      </c>
    </row>
    <row r="220" customFormat="false" ht="15.75" hidden="false" customHeight="true" outlineLevel="0" collapsed="false">
      <c r="B220" s="75"/>
      <c r="C220" s="75"/>
      <c r="K220" s="75"/>
      <c r="M220" s="73" t="str">
        <f aca="false">IF(OR(B220&lt;&gt;"Yielding",E220="",F220="",F220&lt;6),"",IF(D220="Heavy-3s",ROUND(E220*100/(40+6*F220)/1.1,1),ROUND(E220*100/(40+6*F220),1)))</f>
        <v/>
      </c>
    </row>
    <row r="221" customFormat="false" ht="15.75" hidden="false" customHeight="true" outlineLevel="0" collapsed="false">
      <c r="B221" s="75"/>
      <c r="C221" s="75"/>
      <c r="K221" s="75"/>
      <c r="M221" s="73" t="str">
        <f aca="false">IF(OR(B221&lt;&gt;"Yielding",E221="",F221="",F221&lt;6),"",IF(D221="Heavy-3s",ROUND(E221*100/(40+6*F221)/1.1,1),ROUND(E221*100/(40+6*F221),1)))</f>
        <v/>
      </c>
    </row>
    <row r="222" customFormat="false" ht="15.75" hidden="false" customHeight="true" outlineLevel="0" collapsed="false">
      <c r="B222" s="75"/>
      <c r="C222" s="75"/>
      <c r="K222" s="75"/>
      <c r="M222" s="73" t="str">
        <f aca="false">IF(OR(B222&lt;&gt;"Yielding",E222="",F222="",F222&lt;6),"",IF(D222="Heavy-3s",ROUND(E222*100/(40+6*F222)/1.1,1),ROUND(E222*100/(40+6*F222),1)))</f>
        <v/>
      </c>
    </row>
    <row r="223" customFormat="false" ht="15.75" hidden="false" customHeight="true" outlineLevel="0" collapsed="false">
      <c r="B223" s="75"/>
      <c r="C223" s="75"/>
      <c r="K223" s="75"/>
      <c r="M223" s="73" t="str">
        <f aca="false">IF(OR(B223&lt;&gt;"Yielding",E223="",F223="",F223&lt;6),"",IF(D223="Heavy-3s",ROUND(E223*100/(40+6*F223)/1.1,1),ROUND(E223*100/(40+6*F223),1)))</f>
        <v/>
      </c>
    </row>
    <row r="224" customFormat="false" ht="15.75" hidden="false" customHeight="true" outlineLevel="0" collapsed="false">
      <c r="B224" s="75"/>
      <c r="C224" s="75"/>
      <c r="K224" s="75"/>
      <c r="M224" s="73" t="str">
        <f aca="false">IF(OR(B224&lt;&gt;"Yielding",E224="",F224="",F224&lt;6),"",IF(D224="Heavy-3s",ROUND(E224*100/(40+6*F224)/1.1,1),ROUND(E224*100/(40+6*F224),1)))</f>
        <v/>
      </c>
    </row>
    <row r="225" customFormat="false" ht="15.75" hidden="false" customHeight="true" outlineLevel="0" collapsed="false">
      <c r="B225" s="75"/>
      <c r="C225" s="75"/>
      <c r="K225" s="75"/>
      <c r="M225" s="73" t="str">
        <f aca="false">IF(OR(B225&lt;&gt;"Yielding",E225="",F225="",F225&lt;6),"",IF(D225="Heavy-3s",ROUND(E225*100/(40+6*F225)/1.1,1),ROUND(E225*100/(40+6*F225),1)))</f>
        <v/>
      </c>
    </row>
    <row r="226" customFormat="false" ht="15.75" hidden="false" customHeight="true" outlineLevel="0" collapsed="false">
      <c r="B226" s="75"/>
      <c r="C226" s="75"/>
      <c r="K226" s="75"/>
      <c r="M226" s="73" t="str">
        <f aca="false">IF(OR(B226&lt;&gt;"Yielding",E226="",F226="",F226&lt;6),"",IF(D226="Heavy-3s",ROUND(E226*100/(40+6*F226)/1.1,1),ROUND(E226*100/(40+6*F226),1)))</f>
        <v/>
      </c>
    </row>
    <row r="227" customFormat="false" ht="15.75" hidden="false" customHeight="true" outlineLevel="0" collapsed="false">
      <c r="B227" s="75"/>
      <c r="C227" s="75"/>
      <c r="K227" s="75"/>
      <c r="M227" s="73" t="str">
        <f aca="false">IF(OR(B227&lt;&gt;"Yielding",E227="",F227="",F227&lt;6),"",IF(D227="Heavy-3s",ROUND(E227*100/(40+6*F227)/1.1,1),ROUND(E227*100/(40+6*F227),1)))</f>
        <v/>
      </c>
    </row>
    <row r="228" customFormat="false" ht="15.75" hidden="false" customHeight="true" outlineLevel="0" collapsed="false">
      <c r="B228" s="75"/>
      <c r="C228" s="75"/>
      <c r="K228" s="75"/>
      <c r="M228" s="73" t="str">
        <f aca="false">IF(OR(B228&lt;&gt;"Yielding",E228="",F228="",F228&lt;6),"",IF(D228="Heavy-3s",ROUND(E228*100/(40+6*F228)/1.1,1),ROUND(E228*100/(40+6*F228),1)))</f>
        <v/>
      </c>
    </row>
    <row r="229" customFormat="false" ht="15.75" hidden="false" customHeight="true" outlineLevel="0" collapsed="false">
      <c r="B229" s="75"/>
      <c r="C229" s="75"/>
      <c r="K229" s="75"/>
      <c r="M229" s="73" t="str">
        <f aca="false">IF(OR(B229&lt;&gt;"Yielding",E229="",F229="",F229&lt;6),"",IF(D229="Heavy-3s",ROUND(E229*100/(40+6*F229)/1.1,1),ROUND(E229*100/(40+6*F229),1)))</f>
        <v/>
      </c>
    </row>
    <row r="230" customFormat="false" ht="15.75" hidden="false" customHeight="true" outlineLevel="0" collapsed="false">
      <c r="B230" s="75"/>
      <c r="C230" s="75"/>
      <c r="K230" s="75"/>
      <c r="M230" s="73" t="str">
        <f aca="false">IF(OR(B230&lt;&gt;"Yielding",E230="",F230="",F230&lt;6),"",IF(D230="Heavy-3s",ROUND(E230*100/(40+6*F230)/1.1,1),ROUND(E230*100/(40+6*F230),1)))</f>
        <v/>
      </c>
    </row>
    <row r="231" customFormat="false" ht="15.75" hidden="false" customHeight="true" outlineLevel="0" collapsed="false">
      <c r="B231" s="75"/>
      <c r="C231" s="75"/>
      <c r="K231" s="75"/>
      <c r="M231" s="73" t="str">
        <f aca="false">IF(OR(B231&lt;&gt;"Yielding",E231="",F231="",F231&lt;6),"",IF(D231="Heavy-3s",ROUND(E231*100/(40+6*F231)/1.1,1),ROUND(E231*100/(40+6*F231),1)))</f>
        <v/>
      </c>
    </row>
    <row r="232" customFormat="false" ht="15.75" hidden="false" customHeight="true" outlineLevel="0" collapsed="false">
      <c r="B232" s="75"/>
      <c r="C232" s="75"/>
      <c r="K232" s="75"/>
      <c r="M232" s="73" t="str">
        <f aca="false">IF(OR(B232&lt;&gt;"Yielding",E232="",F232="",F232&lt;6),"",IF(D232="Heavy-3s",ROUND(E232*100/(40+6*F232)/1.1,1),ROUND(E232*100/(40+6*F232),1)))</f>
        <v/>
      </c>
    </row>
    <row r="233" customFormat="false" ht="15.75" hidden="false" customHeight="true" outlineLevel="0" collapsed="false">
      <c r="B233" s="75"/>
      <c r="C233" s="75"/>
      <c r="K233" s="75"/>
      <c r="M233" s="73" t="str">
        <f aca="false">IF(OR(B233&lt;&gt;"Yielding",E233="",F233="",F233&lt;6),"",IF(D233="Heavy-3s",ROUND(E233*100/(40+6*F233)/1.1,1),ROUND(E233*100/(40+6*F233),1)))</f>
        <v/>
      </c>
    </row>
    <row r="234" customFormat="false" ht="15.75" hidden="false" customHeight="true" outlineLevel="0" collapsed="false">
      <c r="B234" s="75"/>
      <c r="C234" s="75"/>
      <c r="K234" s="75"/>
      <c r="M234" s="73" t="str">
        <f aca="false">IF(OR(B234&lt;&gt;"Yielding",E234="",F234="",F234&lt;6),"",IF(D234="Heavy-3s",ROUND(E234*100/(40+6*F234)/1.1,1),ROUND(E234*100/(40+6*F234),1)))</f>
        <v/>
      </c>
    </row>
    <row r="235" customFormat="false" ht="15.75" hidden="false" customHeight="true" outlineLevel="0" collapsed="false">
      <c r="B235" s="75"/>
      <c r="C235" s="75"/>
      <c r="K235" s="75"/>
      <c r="M235" s="73" t="str">
        <f aca="false">IF(OR(B235&lt;&gt;"Yielding",E235="",F235="",F235&lt;6),"",IF(D235="Heavy-3s",ROUND(E235*100/(40+6*F235)/1.1,1),ROUND(E235*100/(40+6*F235),1)))</f>
        <v/>
      </c>
    </row>
    <row r="236" customFormat="false" ht="15.75" hidden="false" customHeight="true" outlineLevel="0" collapsed="false">
      <c r="B236" s="75"/>
      <c r="C236" s="75"/>
      <c r="K236" s="75"/>
      <c r="M236" s="73" t="str">
        <f aca="false">IF(OR(B236&lt;&gt;"Yielding",E236="",F236="",F236&lt;6),"",IF(D236="Heavy-3s",ROUND(E236*100/(40+6*F236)/1.1,1),ROUND(E236*100/(40+6*F236),1)))</f>
        <v/>
      </c>
    </row>
    <row r="237" customFormat="false" ht="15.75" hidden="false" customHeight="true" outlineLevel="0" collapsed="false">
      <c r="B237" s="75"/>
      <c r="C237" s="75"/>
      <c r="K237" s="75"/>
      <c r="M237" s="73" t="str">
        <f aca="false">IF(OR(B237&lt;&gt;"Yielding",E237="",F237="",F237&lt;6),"",IF(D237="Heavy-3s",ROUND(E237*100/(40+6*F237)/1.1,1),ROUND(E237*100/(40+6*F237),1)))</f>
        <v/>
      </c>
    </row>
    <row r="238" customFormat="false" ht="15.75" hidden="false" customHeight="true" outlineLevel="0" collapsed="false">
      <c r="B238" s="75"/>
      <c r="C238" s="75"/>
      <c r="K238" s="75"/>
      <c r="M238" s="73" t="str">
        <f aca="false">IF(OR(B238&lt;&gt;"Yielding",E238="",F238="",F238&lt;6),"",IF(D238="Heavy-3s",ROUND(E238*100/(40+6*F238)/1.1,1),ROUND(E238*100/(40+6*F238),1)))</f>
        <v/>
      </c>
    </row>
    <row r="239" customFormat="false" ht="15.75" hidden="false" customHeight="true" outlineLevel="0" collapsed="false">
      <c r="B239" s="75"/>
      <c r="C239" s="75"/>
      <c r="K239" s="75"/>
      <c r="M239" s="73" t="str">
        <f aca="false">IF(OR(B239&lt;&gt;"Yielding",E239="",F239="",F239&lt;6),"",IF(D239="Heavy-3s",ROUND(E239*100/(40+6*F239)/1.1,1),ROUND(E239*100/(40+6*F239),1)))</f>
        <v/>
      </c>
    </row>
    <row r="240" customFormat="false" ht="15.75" hidden="false" customHeight="true" outlineLevel="0" collapsed="false">
      <c r="B240" s="75"/>
      <c r="C240" s="75"/>
      <c r="K240" s="75"/>
      <c r="M240" s="73" t="str">
        <f aca="false">IF(OR(B240&lt;&gt;"Yielding",E240="",F240="",F240&lt;6),"",IF(D240="Heavy-3s",ROUND(E240*100/(40+6*F240)/1.1,1),ROUND(E240*100/(40+6*F240),1)))</f>
        <v/>
      </c>
    </row>
    <row r="241" customFormat="false" ht="15.75" hidden="false" customHeight="true" outlineLevel="0" collapsed="false">
      <c r="B241" s="75"/>
      <c r="C241" s="75"/>
      <c r="K241" s="75"/>
      <c r="M241" s="73" t="str">
        <f aca="false">IF(OR(B241&lt;&gt;"Yielding",E241="",F241="",F241&lt;6),"",IF(D241="Heavy-3s",ROUND(E241*100/(40+6*F241)/1.1,1),ROUND(E241*100/(40+6*F241),1)))</f>
        <v/>
      </c>
    </row>
    <row r="242" customFormat="false" ht="15.75" hidden="false" customHeight="true" outlineLevel="0" collapsed="false">
      <c r="B242" s="75"/>
      <c r="C242" s="75"/>
      <c r="K242" s="75"/>
      <c r="M242" s="73" t="str">
        <f aca="false">IF(OR(B242&lt;&gt;"Yielding",E242="",F242="",F242&lt;6),"",IF(D242="Heavy-3s",ROUND(E242*100/(40+6*F242)/1.1,1),ROUND(E242*100/(40+6*F242),1)))</f>
        <v/>
      </c>
    </row>
    <row r="243" customFormat="false" ht="15.75" hidden="false" customHeight="true" outlineLevel="0" collapsed="false">
      <c r="B243" s="75"/>
      <c r="C243" s="75"/>
      <c r="K243" s="75"/>
      <c r="M243" s="73" t="str">
        <f aca="false">IF(OR(B243&lt;&gt;"Yielding",E243="",F243="",F243&lt;6),"",IF(D243="Heavy-3s",ROUND(E243*100/(40+6*F243)/1.1,1),ROUND(E243*100/(40+6*F243),1)))</f>
        <v/>
      </c>
    </row>
    <row r="244" customFormat="false" ht="15.75" hidden="false" customHeight="true" outlineLevel="0" collapsed="false">
      <c r="B244" s="75"/>
      <c r="C244" s="75"/>
      <c r="K244" s="75"/>
      <c r="M244" s="73" t="str">
        <f aca="false">IF(OR(B244&lt;&gt;"Yielding",E244="",F244="",F244&lt;6),"",IF(D244="Heavy-3s",ROUND(E244*100/(40+6*F244)/1.1,1),ROUND(E244*100/(40+6*F244),1)))</f>
        <v/>
      </c>
    </row>
    <row r="245" customFormat="false" ht="15.75" hidden="false" customHeight="true" outlineLevel="0" collapsed="false">
      <c r="B245" s="75"/>
      <c r="C245" s="75"/>
      <c r="K245" s="75"/>
      <c r="M245" s="73" t="str">
        <f aca="false">IF(OR(B245&lt;&gt;"Yielding",E245="",F245="",F245&lt;6),"",IF(D245="Heavy-3s",ROUND(E245*100/(40+6*F245)/1.1,1),ROUND(E245*100/(40+6*F245),1)))</f>
        <v/>
      </c>
    </row>
    <row r="246" customFormat="false" ht="15.75" hidden="false" customHeight="true" outlineLevel="0" collapsed="false">
      <c r="B246" s="75"/>
      <c r="C246" s="75"/>
      <c r="K246" s="75"/>
      <c r="M246" s="73" t="str">
        <f aca="false">IF(OR(B246&lt;&gt;"Yielding",E246="",F246="",F246&lt;6),"",IF(D246="Heavy-3s",ROUND(E246*100/(40+6*F246)/1.1,1),ROUND(E246*100/(40+6*F246),1)))</f>
        <v/>
      </c>
    </row>
    <row r="247" customFormat="false" ht="15.75" hidden="false" customHeight="true" outlineLevel="0" collapsed="false">
      <c r="B247" s="75"/>
      <c r="C247" s="75"/>
      <c r="K247" s="75"/>
      <c r="M247" s="73" t="str">
        <f aca="false">IF(OR(B247&lt;&gt;"Yielding",E247="",F247="",F247&lt;6),"",IF(D247="Heavy-3s",ROUND(E247*100/(40+6*F247)/1.1,1),ROUND(E247*100/(40+6*F247),1)))</f>
        <v/>
      </c>
    </row>
    <row r="248" customFormat="false" ht="15.75" hidden="false" customHeight="true" outlineLevel="0" collapsed="false">
      <c r="B248" s="75"/>
      <c r="C248" s="75"/>
      <c r="K248" s="75"/>
      <c r="M248" s="73" t="str">
        <f aca="false">IF(OR(B248&lt;&gt;"Yielding",E248="",F248="",F248&lt;6),"",IF(D248="Heavy-3s",ROUND(E248*100/(40+6*F248)/1.1,1),ROUND(E248*100/(40+6*F248),1)))</f>
        <v/>
      </c>
    </row>
    <row r="249" customFormat="false" ht="15.75" hidden="false" customHeight="true" outlineLevel="0" collapsed="false">
      <c r="B249" s="75"/>
      <c r="C249" s="75"/>
      <c r="K249" s="75"/>
      <c r="M249" s="73" t="str">
        <f aca="false">IF(OR(B249&lt;&gt;"Yielding",E249="",F249="",F249&lt;6),"",IF(D249="Heavy-3s",ROUND(E249*100/(40+6*F249)/1.1,1),ROUND(E249*100/(40+6*F249),1)))</f>
        <v/>
      </c>
    </row>
    <row r="250" customFormat="false" ht="15.75" hidden="false" customHeight="true" outlineLevel="0" collapsed="false">
      <c r="B250" s="75"/>
      <c r="C250" s="75"/>
      <c r="K250" s="75"/>
      <c r="M250" s="73" t="str">
        <f aca="false">IF(OR(B250&lt;&gt;"Yielding",E250="",F250="",F250&lt;6),"",IF(D250="Heavy-3s",ROUND(E250*100/(40+6*F250)/1.1,1),ROUND(E250*100/(40+6*F250),1)))</f>
        <v/>
      </c>
    </row>
    <row r="251" customFormat="false" ht="15.75" hidden="false" customHeight="true" outlineLevel="0" collapsed="false">
      <c r="B251" s="75"/>
      <c r="C251" s="75"/>
      <c r="K251" s="75"/>
      <c r="M251" s="73" t="str">
        <f aca="false">IF(OR(B251&lt;&gt;"Yielding",E251="",F251="",F251&lt;6),"",IF(D251="Heavy-3s",ROUND(E251*100/(40+6*F251)/1.1,1),ROUND(E251*100/(40+6*F251),1)))</f>
        <v/>
      </c>
    </row>
    <row r="252" customFormat="false" ht="15.75" hidden="false" customHeight="true" outlineLevel="0" collapsed="false">
      <c r="B252" s="75"/>
      <c r="C252" s="75"/>
      <c r="K252" s="75"/>
      <c r="M252" s="73" t="str">
        <f aca="false">IF(OR(B252&lt;&gt;"Yielding",E252="",F252="",F252&lt;6),"",IF(D252="Heavy-3s",ROUND(E252*100/(40+6*F252)/1.1,1),ROUND(E252*100/(40+6*F252),1)))</f>
        <v/>
      </c>
    </row>
    <row r="253" customFormat="false" ht="15.75" hidden="false" customHeight="true" outlineLevel="0" collapsed="false">
      <c r="B253" s="75"/>
      <c r="C253" s="75"/>
      <c r="K253" s="75"/>
      <c r="M253" s="73" t="str">
        <f aca="false">IF(OR(B253&lt;&gt;"Yielding",E253="",F253="",F253&lt;6),"",IF(D253="Heavy-3s",ROUND(E253*100/(40+6*F253)/1.1,1),ROUND(E253*100/(40+6*F253),1)))</f>
        <v/>
      </c>
    </row>
    <row r="254" customFormat="false" ht="15.75" hidden="false" customHeight="true" outlineLevel="0" collapsed="false">
      <c r="B254" s="75"/>
      <c r="C254" s="75"/>
      <c r="K254" s="75"/>
      <c r="M254" s="73" t="str">
        <f aca="false">IF(OR(B254&lt;&gt;"Yielding",E254="",F254="",F254&lt;6),"",IF(D254="Heavy-3s",ROUND(E254*100/(40+6*F254)/1.1,1),ROUND(E254*100/(40+6*F254),1)))</f>
        <v/>
      </c>
    </row>
    <row r="255" customFormat="false" ht="15.75" hidden="false" customHeight="true" outlineLevel="0" collapsed="false">
      <c r="B255" s="75"/>
      <c r="C255" s="75"/>
      <c r="K255" s="75"/>
      <c r="M255" s="73" t="str">
        <f aca="false">IF(OR(B255&lt;&gt;"Yielding",E255="",F255="",F255&lt;6),"",IF(D255="Heavy-3s",ROUND(E255*100/(40+6*F255)/1.1,1),ROUND(E255*100/(40+6*F255),1)))</f>
        <v/>
      </c>
    </row>
    <row r="256" customFormat="false" ht="15.75" hidden="false" customHeight="true" outlineLevel="0" collapsed="false">
      <c r="B256" s="75"/>
      <c r="C256" s="75"/>
      <c r="K256" s="75"/>
      <c r="M256" s="73" t="str">
        <f aca="false">IF(OR(B256&lt;&gt;"Yielding",E256="",F256="",F256&lt;6),"",IF(D256="Heavy-3s",ROUND(E256*100/(40+6*F256)/1.1,1),ROUND(E256*100/(40+6*F256),1)))</f>
        <v/>
      </c>
    </row>
    <row r="257" customFormat="false" ht="15.75" hidden="false" customHeight="true" outlineLevel="0" collapsed="false">
      <c r="B257" s="75"/>
      <c r="C257" s="75"/>
      <c r="K257" s="75"/>
      <c r="M257" s="73" t="str">
        <f aca="false">IF(OR(B257&lt;&gt;"Yielding",E257="",F257="",F257&lt;6),"",IF(D257="Heavy-3s",ROUND(E257*100/(40+6*F257)/1.1,1),ROUND(E257*100/(40+6*F257),1)))</f>
        <v/>
      </c>
    </row>
    <row r="258" customFormat="false" ht="15.75" hidden="false" customHeight="true" outlineLevel="0" collapsed="false">
      <c r="B258" s="75"/>
      <c r="C258" s="75"/>
      <c r="K258" s="75"/>
      <c r="M258" s="73" t="str">
        <f aca="false">IF(OR(B258&lt;&gt;"Yielding",E258="",F258="",F258&lt;6),"",IF(D258="Heavy-3s",ROUND(E258*100/(40+6*F258)/1.1,1),ROUND(E258*100/(40+6*F258),1)))</f>
        <v/>
      </c>
    </row>
    <row r="259" customFormat="false" ht="15.75" hidden="false" customHeight="true" outlineLevel="0" collapsed="false">
      <c r="B259" s="75"/>
      <c r="C259" s="75"/>
      <c r="K259" s="75"/>
      <c r="M259" s="73" t="str">
        <f aca="false">IF(OR(B259&lt;&gt;"Yielding",E259="",F259="",F259&lt;6),"",IF(D259="Heavy-3s",ROUND(E259*100/(40+6*F259)/1.1,1),ROUND(E259*100/(40+6*F259),1)))</f>
        <v/>
      </c>
    </row>
    <row r="260" customFormat="false" ht="15.75" hidden="false" customHeight="true" outlineLevel="0" collapsed="false">
      <c r="B260" s="75"/>
      <c r="C260" s="75"/>
      <c r="K260" s="75"/>
      <c r="M260" s="73" t="str">
        <f aca="false">IF(OR(B260&lt;&gt;"Yielding",E260="",F260="",F260&lt;6),"",IF(D260="Heavy-3s",ROUND(E260*100/(40+6*F260)/1.1,1),ROUND(E260*100/(40+6*F260),1)))</f>
        <v/>
      </c>
    </row>
    <row r="261" customFormat="false" ht="15.75" hidden="false" customHeight="true" outlineLevel="0" collapsed="false">
      <c r="B261" s="75"/>
      <c r="C261" s="75"/>
      <c r="K261" s="75"/>
      <c r="M261" s="73" t="str">
        <f aca="false">IF(OR(B261&lt;&gt;"Yielding",E261="",F261="",F261&lt;6),"",IF(D261="Heavy-3s",ROUND(E261*100/(40+6*F261)/1.1,1),ROUND(E261*100/(40+6*F261),1)))</f>
        <v/>
      </c>
    </row>
    <row r="262" customFormat="false" ht="15.75" hidden="false" customHeight="true" outlineLevel="0" collapsed="false">
      <c r="B262" s="75"/>
      <c r="C262" s="75"/>
      <c r="K262" s="75"/>
      <c r="M262" s="73" t="str">
        <f aca="false">IF(OR(B262&lt;&gt;"Yielding",E262="",F262="",F262&lt;6),"",IF(D262="Heavy-3s",ROUND(E262*100/(40+6*F262)/1.1,1),ROUND(E262*100/(40+6*F262),1)))</f>
        <v/>
      </c>
    </row>
    <row r="263" customFormat="false" ht="15.75" hidden="false" customHeight="true" outlineLevel="0" collapsed="false">
      <c r="B263" s="75"/>
      <c r="C263" s="75"/>
      <c r="K263" s="75"/>
      <c r="M263" s="73" t="str">
        <f aca="false">IF(OR(B263&lt;&gt;"Yielding",E263="",F263="",F263&lt;6),"",IF(D263="Heavy-3s",ROUND(E263*100/(40+6*F263)/1.1,1),ROUND(E263*100/(40+6*F263),1)))</f>
        <v/>
      </c>
    </row>
    <row r="264" customFormat="false" ht="15.75" hidden="false" customHeight="true" outlineLevel="0" collapsed="false">
      <c r="B264" s="75"/>
      <c r="C264" s="75"/>
      <c r="K264" s="75"/>
      <c r="M264" s="73" t="str">
        <f aca="false">IF(OR(B264&lt;&gt;"Yielding",E264="",F264="",F264&lt;6),"",IF(D264="Heavy-3s",ROUND(E264*100/(40+6*F264)/1.1,1),ROUND(E264*100/(40+6*F264),1)))</f>
        <v/>
      </c>
    </row>
    <row r="265" customFormat="false" ht="15.75" hidden="false" customHeight="true" outlineLevel="0" collapsed="false">
      <c r="B265" s="75"/>
      <c r="C265" s="75"/>
      <c r="K265" s="75"/>
      <c r="M265" s="73" t="str">
        <f aca="false">IF(OR(B265&lt;&gt;"Yielding",E265="",F265="",F265&lt;6),"",IF(D265="Heavy-3s",ROUND(E265*100/(40+6*F265)/1.1,1),ROUND(E265*100/(40+6*F265),1)))</f>
        <v/>
      </c>
    </row>
    <row r="266" customFormat="false" ht="15.75" hidden="false" customHeight="true" outlineLevel="0" collapsed="false">
      <c r="B266" s="75"/>
      <c r="C266" s="75"/>
      <c r="K266" s="75"/>
      <c r="M266" s="73" t="str">
        <f aca="false">IF(OR(B266&lt;&gt;"Yielding",E266="",F266="",F266&lt;6),"",IF(D266="Heavy-3s",ROUND(E266*100/(40+6*F266)/1.1,1),ROUND(E266*100/(40+6*F266),1)))</f>
        <v/>
      </c>
    </row>
    <row r="267" customFormat="false" ht="15.75" hidden="false" customHeight="true" outlineLevel="0" collapsed="false">
      <c r="B267" s="75"/>
      <c r="C267" s="75"/>
      <c r="K267" s="75"/>
      <c r="M267" s="73" t="str">
        <f aca="false">IF(OR(B267&lt;&gt;"Yielding",E267="",F267="",F267&lt;6),"",IF(D267="Heavy-3s",ROUND(E267*100/(40+6*F267)/1.1,1),ROUND(E267*100/(40+6*F267),1)))</f>
        <v/>
      </c>
    </row>
    <row r="268" customFormat="false" ht="15.75" hidden="false" customHeight="true" outlineLevel="0" collapsed="false">
      <c r="B268" s="75"/>
      <c r="C268" s="75"/>
      <c r="K268" s="75"/>
      <c r="M268" s="73" t="str">
        <f aca="false">IF(OR(B268&lt;&gt;"Yielding",E268="",F268="",F268&lt;6),"",IF(D268="Heavy-3s",ROUND(E268*100/(40+6*F268)/1.1,1),ROUND(E268*100/(40+6*F268),1)))</f>
        <v/>
      </c>
    </row>
    <row r="269" customFormat="false" ht="15.75" hidden="false" customHeight="true" outlineLevel="0" collapsed="false">
      <c r="B269" s="75"/>
      <c r="C269" s="75"/>
      <c r="K269" s="75"/>
      <c r="M269" s="73" t="str">
        <f aca="false">IF(OR(B269&lt;&gt;"Yielding",E269="",F269="",F269&lt;6),"",IF(D269="Heavy-3s",ROUND(E269*100/(40+6*F269)/1.1,1),ROUND(E269*100/(40+6*F269),1)))</f>
        <v/>
      </c>
    </row>
    <row r="270" customFormat="false" ht="15.75" hidden="false" customHeight="true" outlineLevel="0" collapsed="false">
      <c r="B270" s="75"/>
      <c r="C270" s="75"/>
      <c r="K270" s="75"/>
      <c r="M270" s="73" t="str">
        <f aca="false">IF(OR(B270&lt;&gt;"Yielding",E270="",F270="",F270&lt;6),"",IF(D270="Heavy-3s",ROUND(E270*100/(40+6*F270)/1.1,1),ROUND(E270*100/(40+6*F270),1)))</f>
        <v/>
      </c>
    </row>
    <row r="271" customFormat="false" ht="15.75" hidden="false" customHeight="true" outlineLevel="0" collapsed="false">
      <c r="B271" s="75"/>
      <c r="C271" s="75"/>
      <c r="K271" s="75"/>
      <c r="M271" s="73" t="str">
        <f aca="false">IF(OR(B271&lt;&gt;"Yielding",E271="",F271="",F271&lt;6),"",IF(D271="Heavy-3s",ROUND(E271*100/(40+6*F271)/1.1,1),ROUND(E271*100/(40+6*F271),1)))</f>
        <v/>
      </c>
    </row>
    <row r="272" customFormat="false" ht="15.75" hidden="false" customHeight="true" outlineLevel="0" collapsed="false">
      <c r="B272" s="75"/>
      <c r="C272" s="75"/>
      <c r="K272" s="75"/>
      <c r="M272" s="73" t="str">
        <f aca="false">IF(OR(B272&lt;&gt;"Yielding",E272="",F272="",F272&lt;6),"",IF(D272="Heavy-3s",ROUND(E272*100/(40+6*F272)/1.1,1),ROUND(E272*100/(40+6*F272),1)))</f>
        <v/>
      </c>
    </row>
    <row r="273" customFormat="false" ht="15.75" hidden="false" customHeight="true" outlineLevel="0" collapsed="false">
      <c r="B273" s="75"/>
      <c r="C273" s="75"/>
      <c r="K273" s="75"/>
      <c r="M273" s="73" t="str">
        <f aca="false">IF(OR(B273&lt;&gt;"Yielding",E273="",F273="",F273&lt;6),"",IF(D273="Heavy-3s",ROUND(E273*100/(40+6*F273)/1.1,1),ROUND(E273*100/(40+6*F273),1)))</f>
        <v/>
      </c>
    </row>
    <row r="274" customFormat="false" ht="15.75" hidden="false" customHeight="true" outlineLevel="0" collapsed="false">
      <c r="B274" s="75"/>
      <c r="C274" s="75"/>
      <c r="K274" s="75"/>
      <c r="M274" s="73" t="str">
        <f aca="false">IF(OR(B274&lt;&gt;"Yielding",E274="",F274="",F274&lt;6),"",IF(D274="Heavy-3s",ROUND(E274*100/(40+6*F274)/1.1,1),ROUND(E274*100/(40+6*F274),1)))</f>
        <v/>
      </c>
    </row>
    <row r="275" customFormat="false" ht="15.75" hidden="false" customHeight="true" outlineLevel="0" collapsed="false">
      <c r="B275" s="75"/>
      <c r="C275" s="75"/>
      <c r="K275" s="75"/>
      <c r="M275" s="73" t="str">
        <f aca="false">IF(OR(B275&lt;&gt;"Yielding",E275="",F275="",F275&lt;6),"",IF(D275="Heavy-3s",ROUND(E275*100/(40+6*F275)/1.1,1),ROUND(E275*100/(40+6*F275),1)))</f>
        <v/>
      </c>
    </row>
    <row r="276" customFormat="false" ht="15.75" hidden="false" customHeight="true" outlineLevel="0" collapsed="false">
      <c r="B276" s="75"/>
      <c r="C276" s="75"/>
      <c r="K276" s="75"/>
      <c r="M276" s="73" t="str">
        <f aca="false">IF(OR(B276&lt;&gt;"Yielding",E276="",F276="",F276&lt;6),"",IF(D276="Heavy-3s",ROUND(E276*100/(40+6*F276)/1.1,1),ROUND(E276*100/(40+6*F276),1)))</f>
        <v/>
      </c>
    </row>
    <row r="277" customFormat="false" ht="15.75" hidden="false" customHeight="true" outlineLevel="0" collapsed="false">
      <c r="B277" s="75"/>
      <c r="C277" s="75"/>
      <c r="K277" s="75"/>
      <c r="M277" s="73" t="str">
        <f aca="false">IF(OR(B277&lt;&gt;"Yielding",E277="",F277="",F277&lt;6),"",IF(D277="Heavy-3s",ROUND(E277*100/(40+6*F277)/1.1,1),ROUND(E277*100/(40+6*F277),1)))</f>
        <v/>
      </c>
    </row>
    <row r="278" customFormat="false" ht="15.75" hidden="false" customHeight="true" outlineLevel="0" collapsed="false">
      <c r="B278" s="75"/>
      <c r="C278" s="75"/>
      <c r="K278" s="75"/>
      <c r="M278" s="73" t="str">
        <f aca="false">IF(OR(B278&lt;&gt;"Yielding",E278="",F278="",F278&lt;6),"",IF(D278="Heavy-3s",ROUND(E278*100/(40+6*F278)/1.1,1),ROUND(E278*100/(40+6*F278),1)))</f>
        <v/>
      </c>
    </row>
    <row r="279" customFormat="false" ht="15.75" hidden="false" customHeight="true" outlineLevel="0" collapsed="false">
      <c r="B279" s="75"/>
      <c r="C279" s="75"/>
      <c r="K279" s="75"/>
      <c r="M279" s="73" t="str">
        <f aca="false">IF(OR(B279&lt;&gt;"Yielding",E279="",F279="",F279&lt;6),"",IF(D279="Heavy-3s",ROUND(E279*100/(40+6*F279)/1.1,1),ROUND(E279*100/(40+6*F279),1)))</f>
        <v/>
      </c>
    </row>
    <row r="280" customFormat="false" ht="15.75" hidden="false" customHeight="true" outlineLevel="0" collapsed="false">
      <c r="B280" s="75"/>
      <c r="C280" s="75"/>
      <c r="K280" s="75"/>
      <c r="M280" s="73" t="str">
        <f aca="false">IF(OR(B280&lt;&gt;"Yielding",E280="",F280="",F280&lt;6),"",IF(D280="Heavy-3s",ROUND(E280*100/(40+6*F280)/1.1,1),ROUND(E280*100/(40+6*F280),1)))</f>
        <v/>
      </c>
    </row>
    <row r="281" customFormat="false" ht="15.75" hidden="false" customHeight="true" outlineLevel="0" collapsed="false">
      <c r="B281" s="75"/>
      <c r="C281" s="75"/>
      <c r="K281" s="75"/>
      <c r="M281" s="73" t="str">
        <f aca="false">IF(OR(B281&lt;&gt;"Yielding",E281="",F281="",F281&lt;6),"",IF(D281="Heavy-3s",ROUND(E281*100/(40+6*F281)/1.1,1),ROUND(E281*100/(40+6*F281),1)))</f>
        <v/>
      </c>
    </row>
    <row r="282" customFormat="false" ht="15.75" hidden="false" customHeight="true" outlineLevel="0" collapsed="false">
      <c r="B282" s="75"/>
      <c r="C282" s="75"/>
      <c r="K282" s="75"/>
      <c r="M282" s="73" t="str">
        <f aca="false">IF(OR(B282&lt;&gt;"Yielding",E282="",F282="",F282&lt;6),"",IF(D282="Heavy-3s",ROUND(E282*100/(40+6*F282)/1.1,1),ROUND(E282*100/(40+6*F282),1)))</f>
        <v/>
      </c>
    </row>
    <row r="283" customFormat="false" ht="15.75" hidden="false" customHeight="true" outlineLevel="0" collapsed="false">
      <c r="B283" s="75"/>
      <c r="C283" s="75"/>
      <c r="K283" s="75"/>
      <c r="M283" s="73" t="str">
        <f aca="false">IF(OR(B283&lt;&gt;"Yielding",E283="",F283="",F283&lt;6),"",IF(D283="Heavy-3s",ROUND(E283*100/(40+6*F283)/1.1,1),ROUND(E283*100/(40+6*F283),1)))</f>
        <v/>
      </c>
    </row>
    <row r="284" customFormat="false" ht="15.75" hidden="false" customHeight="true" outlineLevel="0" collapsed="false">
      <c r="B284" s="75"/>
      <c r="C284" s="75"/>
      <c r="K284" s="75"/>
      <c r="M284" s="73" t="str">
        <f aca="false">IF(OR(B284&lt;&gt;"Yielding",E284="",F284="",F284&lt;6),"",IF(D284="Heavy-3s",ROUND(E284*100/(40+6*F284)/1.1,1),ROUND(E284*100/(40+6*F284),1)))</f>
        <v/>
      </c>
    </row>
    <row r="285" customFormat="false" ht="15.75" hidden="false" customHeight="true" outlineLevel="0" collapsed="false">
      <c r="B285" s="75"/>
      <c r="C285" s="75"/>
      <c r="K285" s="75"/>
      <c r="M285" s="73" t="str">
        <f aca="false">IF(OR(B285&lt;&gt;"Yielding",E285="",F285="",F285&lt;6),"",IF(D285="Heavy-3s",ROUND(E285*100/(40+6*F285)/1.1,1),ROUND(E285*100/(40+6*F285),1)))</f>
        <v/>
      </c>
    </row>
    <row r="286" customFormat="false" ht="15.75" hidden="false" customHeight="true" outlineLevel="0" collapsed="false">
      <c r="B286" s="75"/>
      <c r="C286" s="75"/>
      <c r="K286" s="75"/>
      <c r="M286" s="73" t="str">
        <f aca="false">IF(OR(B286&lt;&gt;"Yielding",E286="",F286="",F286&lt;6),"",IF(D286="Heavy-3s",ROUND(E286*100/(40+6*F286)/1.1,1),ROUND(E286*100/(40+6*F286),1)))</f>
        <v/>
      </c>
    </row>
    <row r="287" customFormat="false" ht="15.75" hidden="false" customHeight="true" outlineLevel="0" collapsed="false">
      <c r="B287" s="75"/>
      <c r="C287" s="75"/>
      <c r="K287" s="75"/>
      <c r="M287" s="73" t="str">
        <f aca="false">IF(OR(B287&lt;&gt;"Yielding",E287="",F287="",F287&lt;6),"",IF(D287="Heavy-3s",ROUND(E287*100/(40+6*F287)/1.1,1),ROUND(E287*100/(40+6*F287),1)))</f>
        <v/>
      </c>
    </row>
    <row r="288" customFormat="false" ht="15.75" hidden="false" customHeight="true" outlineLevel="0" collapsed="false">
      <c r="B288" s="75"/>
      <c r="C288" s="75"/>
      <c r="K288" s="75"/>
      <c r="M288" s="73" t="str">
        <f aca="false">IF(OR(B288&lt;&gt;"Yielding",E288="",F288="",F288&lt;6),"",IF(D288="Heavy-3s",ROUND(E288*100/(40+6*F288)/1.1,1),ROUND(E288*100/(40+6*F288),1)))</f>
        <v/>
      </c>
    </row>
    <row r="289" customFormat="false" ht="15.75" hidden="false" customHeight="true" outlineLevel="0" collapsed="false">
      <c r="B289" s="75"/>
      <c r="C289" s="75"/>
      <c r="K289" s="75"/>
      <c r="M289" s="73" t="str">
        <f aca="false">IF(OR(B289&lt;&gt;"Yielding",E289="",F289="",F289&lt;6),"",IF(D289="Heavy-3s",ROUND(E289*100/(40+6*F289)/1.1,1),ROUND(E289*100/(40+6*F289),1)))</f>
        <v/>
      </c>
    </row>
    <row r="290" customFormat="false" ht="15.75" hidden="false" customHeight="true" outlineLevel="0" collapsed="false">
      <c r="B290" s="75"/>
      <c r="C290" s="75"/>
      <c r="K290" s="75"/>
      <c r="M290" s="73" t="str">
        <f aca="false">IF(OR(B290&lt;&gt;"Yielding",E290="",F290="",F290&lt;6),"",IF(D290="Heavy-3s",ROUND(E290*100/(40+6*F290)/1.1,1),ROUND(E290*100/(40+6*F290),1)))</f>
        <v/>
      </c>
    </row>
    <row r="291" customFormat="false" ht="15.75" hidden="false" customHeight="true" outlineLevel="0" collapsed="false">
      <c r="B291" s="75"/>
      <c r="C291" s="75"/>
      <c r="K291" s="75"/>
      <c r="M291" s="73" t="str">
        <f aca="false">IF(OR(B291&lt;&gt;"Yielding",E291="",F291="",F291&lt;6),"",IF(D291="Heavy-3s",ROUND(E291*100/(40+6*F291)/1.1,1),ROUND(E291*100/(40+6*F291),1)))</f>
        <v/>
      </c>
    </row>
    <row r="292" customFormat="false" ht="15.75" hidden="false" customHeight="true" outlineLevel="0" collapsed="false">
      <c r="B292" s="75"/>
      <c r="C292" s="75"/>
      <c r="K292" s="75"/>
      <c r="M292" s="73" t="str">
        <f aca="false">IF(OR(B292&lt;&gt;"Yielding",E292="",F292="",F292&lt;6),"",IF(D292="Heavy-3s",ROUND(E292*100/(40+6*F292)/1.1,1),ROUND(E292*100/(40+6*F292),1)))</f>
        <v/>
      </c>
    </row>
    <row r="293" customFormat="false" ht="15.75" hidden="false" customHeight="true" outlineLevel="0" collapsed="false">
      <c r="B293" s="75"/>
      <c r="C293" s="75"/>
      <c r="K293" s="75"/>
      <c r="M293" s="73" t="str">
        <f aca="false">IF(OR(B293&lt;&gt;"Yielding",E293="",F293="",F293&lt;6),"",IF(D293="Heavy-3s",ROUND(E293*100/(40+6*F293)/1.1,1),ROUND(E293*100/(40+6*F293),1)))</f>
        <v/>
      </c>
    </row>
    <row r="294" customFormat="false" ht="15.75" hidden="false" customHeight="true" outlineLevel="0" collapsed="false">
      <c r="B294" s="75"/>
      <c r="C294" s="75"/>
      <c r="K294" s="75"/>
      <c r="M294" s="73" t="str">
        <f aca="false">IF(OR(B294&lt;&gt;"Yielding",E294="",F294="",F294&lt;6),"",IF(D294="Heavy-3s",ROUND(E294*100/(40+6*F294)/1.1,1),ROUND(E294*100/(40+6*F294),1)))</f>
        <v/>
      </c>
    </row>
    <row r="295" customFormat="false" ht="15.75" hidden="false" customHeight="true" outlineLevel="0" collapsed="false">
      <c r="B295" s="75"/>
      <c r="C295" s="75"/>
      <c r="K295" s="75"/>
      <c r="M295" s="73" t="str">
        <f aca="false">IF(OR(B295&lt;&gt;"Yielding",E295="",F295="",F295&lt;6),"",IF(D295="Heavy-3s",ROUND(E295*100/(40+6*F295)/1.1,1),ROUND(E295*100/(40+6*F295),1)))</f>
        <v/>
      </c>
    </row>
    <row r="296" customFormat="false" ht="15.75" hidden="false" customHeight="true" outlineLevel="0" collapsed="false">
      <c r="B296" s="75"/>
      <c r="C296" s="75"/>
      <c r="K296" s="75"/>
      <c r="M296" s="73" t="str">
        <f aca="false">IF(OR(B296&lt;&gt;"Yielding",E296="",F296="",F296&lt;6),"",IF(D296="Heavy-3s",ROUND(E296*100/(40+6*F296)/1.1,1),ROUND(E296*100/(40+6*F296),1)))</f>
        <v/>
      </c>
    </row>
    <row r="297" customFormat="false" ht="15.75" hidden="false" customHeight="true" outlineLevel="0" collapsed="false">
      <c r="B297" s="75"/>
      <c r="C297" s="75"/>
      <c r="K297" s="75"/>
      <c r="M297" s="73" t="str">
        <f aca="false">IF(OR(B297&lt;&gt;"Yielding",E297="",F297="",F297&lt;6),"",IF(D297="Heavy-3s",ROUND(E297*100/(40+6*F297)/1.1,1),ROUND(E297*100/(40+6*F297),1)))</f>
        <v/>
      </c>
    </row>
    <row r="298" customFormat="false" ht="15.75" hidden="false" customHeight="true" outlineLevel="0" collapsed="false">
      <c r="B298" s="75"/>
      <c r="C298" s="75"/>
      <c r="K298" s="75"/>
      <c r="M298" s="73" t="str">
        <f aca="false">IF(OR(B298&lt;&gt;"Yielding",E298="",F298="",F298&lt;6),"",IF(D298="Heavy-3s",ROUND(E298*100/(40+6*F298)/1.1,1),ROUND(E298*100/(40+6*F298),1)))</f>
        <v/>
      </c>
    </row>
    <row r="299" customFormat="false" ht="15.75" hidden="false" customHeight="true" outlineLevel="0" collapsed="false">
      <c r="B299" s="75"/>
      <c r="C299" s="75"/>
      <c r="K299" s="75"/>
      <c r="M299" s="73" t="str">
        <f aca="false">IF(OR(B299&lt;&gt;"Yielding",E299="",F299="",F299&lt;6),"",IF(D299="Heavy-3s",ROUND(E299*100/(40+6*F299)/1.1,1),ROUND(E299*100/(40+6*F299),1)))</f>
        <v/>
      </c>
    </row>
    <row r="300" customFormat="false" ht="15.75" hidden="false" customHeight="true" outlineLevel="0" collapsed="false">
      <c r="B300" s="75"/>
      <c r="C300" s="75"/>
      <c r="K300" s="75"/>
      <c r="M300" s="73" t="str">
        <f aca="false">IF(OR(B300&lt;&gt;"Yielding",E300="",F300="",F300&lt;6),"",IF(D300="Heavy-3s",ROUND(E300*100/(40+6*F300)/1.1,1),ROUND(E300*100/(40+6*F300),1)))</f>
        <v/>
      </c>
    </row>
    <row r="301" customFormat="false" ht="15.75" hidden="false" customHeight="true" outlineLevel="0" collapsed="false">
      <c r="B301" s="75"/>
      <c r="C301" s="75"/>
      <c r="K301" s="75"/>
      <c r="M301" s="73" t="str">
        <f aca="false">IF(OR(B301&lt;&gt;"Yielding",E301="",F301="",F301&lt;6),"",ROUND(E301*100/(40+6*F301),1))</f>
        <v/>
      </c>
    </row>
    <row r="302" customFormat="false" ht="15.75" hidden="false" customHeight="true" outlineLevel="0" collapsed="false">
      <c r="B302" s="75"/>
      <c r="C302" s="75"/>
      <c r="K302" s="75"/>
      <c r="M302" s="73" t="str">
        <f aca="false">IF(OR(B302&lt;&gt;"Yielding",E302="",F302="",F302&lt;6),"",ROUND(E302*100/(40+6*F302),1))</f>
        <v/>
      </c>
    </row>
    <row r="303" customFormat="false" ht="15.75" hidden="false" customHeight="true" outlineLevel="0" collapsed="false">
      <c r="B303" s="75"/>
      <c r="C303" s="75"/>
      <c r="K303" s="75"/>
      <c r="M303" s="73" t="str">
        <f aca="false">IF(OR(B303&lt;&gt;"Yielding",E303="",F303="",F303&lt;6),"",ROUND(E303*100/(40+6*F303),1))</f>
        <v/>
      </c>
    </row>
    <row r="304" customFormat="false" ht="15.75" hidden="false" customHeight="true" outlineLevel="0" collapsed="false">
      <c r="B304" s="75"/>
      <c r="C304" s="75"/>
      <c r="K304" s="75"/>
      <c r="M304" s="73" t="str">
        <f aca="false">IF(OR(B304&lt;&gt;"Yielding",E304="",F304="",F304&lt;6),"",ROUND(E304*100/(40+6*F304),1))</f>
        <v/>
      </c>
    </row>
    <row r="305" customFormat="false" ht="15.75" hidden="false" customHeight="true" outlineLevel="0" collapsed="false">
      <c r="B305" s="75"/>
      <c r="C305" s="75"/>
      <c r="K305" s="75"/>
      <c r="M305" s="73" t="str">
        <f aca="false">IF(OR(B305&lt;&gt;"Yielding",E305="",F305="",F305&lt;6),"",ROUND(E305*100/(40+6*F305),1))</f>
        <v/>
      </c>
    </row>
    <row r="306" customFormat="false" ht="15.75" hidden="false" customHeight="true" outlineLevel="0" collapsed="false">
      <c r="B306" s="75"/>
      <c r="C306" s="75"/>
      <c r="K306" s="75"/>
      <c r="M306" s="73" t="str">
        <f aca="false">IF(OR(B306&lt;&gt;"Yielding",E306="",F306="",F306&lt;6),"",ROUND(E306*100/(40+6*F306),1))</f>
        <v/>
      </c>
    </row>
    <row r="307" customFormat="false" ht="15.75" hidden="false" customHeight="true" outlineLevel="0" collapsed="false">
      <c r="B307" s="75"/>
      <c r="C307" s="75"/>
      <c r="K307" s="75"/>
      <c r="M307" s="73" t="str">
        <f aca="false">IF(OR(B307&lt;&gt;"Yielding",E307="",F307="",F307&lt;6),"",ROUND(E307*100/(40+6*F307),1))</f>
        <v/>
      </c>
    </row>
    <row r="308" customFormat="false" ht="15.75" hidden="false" customHeight="true" outlineLevel="0" collapsed="false">
      <c r="B308" s="75"/>
      <c r="C308" s="75"/>
      <c r="K308" s="75"/>
      <c r="M308" s="73" t="str">
        <f aca="false">IF(OR(B308&lt;&gt;"Yielding",E308="",F308="",F308&lt;6),"",ROUND(E308*100/(40+6*F308),1))</f>
        <v/>
      </c>
    </row>
    <row r="309" customFormat="false" ht="15.75" hidden="false" customHeight="true" outlineLevel="0" collapsed="false">
      <c r="B309" s="75"/>
      <c r="C309" s="75"/>
      <c r="K309" s="75"/>
      <c r="M309" s="73" t="str">
        <f aca="false">IF(OR(B309&lt;&gt;"Yielding",E309="",F309="",F309&lt;6),"",ROUND(E309*100/(40+6*F309),1))</f>
        <v/>
      </c>
    </row>
    <row r="310" customFormat="false" ht="15.75" hidden="false" customHeight="true" outlineLevel="0" collapsed="false">
      <c r="B310" s="75"/>
      <c r="C310" s="75"/>
      <c r="K310" s="75"/>
      <c r="M310" s="73" t="str">
        <f aca="false">IF(OR(B310&lt;&gt;"Yielding",E310="",F310="",F310&lt;6),"",ROUND(E310*100/(40+6*F310),1))</f>
        <v/>
      </c>
    </row>
    <row r="311" customFormat="false" ht="15.75" hidden="false" customHeight="true" outlineLevel="0" collapsed="false">
      <c r="B311" s="75"/>
      <c r="C311" s="75"/>
      <c r="K311" s="75"/>
      <c r="M311" s="73" t="str">
        <f aca="false">IF(OR(B311&lt;&gt;"Yielding",E311="",F311="",F311&lt;6),"",ROUND(E311*100/(40+6*F311),1))</f>
        <v/>
      </c>
    </row>
    <row r="312" customFormat="false" ht="15.75" hidden="false" customHeight="true" outlineLevel="0" collapsed="false">
      <c r="B312" s="75"/>
      <c r="C312" s="75"/>
      <c r="K312" s="75"/>
      <c r="M312" s="73" t="str">
        <f aca="false">IF(OR(B312&lt;&gt;"Yielding",E312="",F312="",F312&lt;6),"",ROUND(E312*100/(40+6*F312),1))</f>
        <v/>
      </c>
    </row>
    <row r="313" customFormat="false" ht="15.75" hidden="false" customHeight="true" outlineLevel="0" collapsed="false">
      <c r="B313" s="75"/>
      <c r="C313" s="75"/>
      <c r="K313" s="75"/>
      <c r="M313" s="73" t="str">
        <f aca="false">IF(OR(B313&lt;&gt;"Yielding",E313="",F313="",F313&lt;6),"",ROUND(E313*100/(40+6*F313),1))</f>
        <v/>
      </c>
    </row>
    <row r="314" customFormat="false" ht="15.75" hidden="false" customHeight="true" outlineLevel="0" collapsed="false">
      <c r="B314" s="75"/>
      <c r="C314" s="75"/>
      <c r="K314" s="75"/>
      <c r="M314" s="73" t="str">
        <f aca="false">IF(OR(B314&lt;&gt;"Yielding",E314="",F314="",F314&lt;6),"",ROUND(E314*100/(40+6*F314),1))</f>
        <v/>
      </c>
    </row>
    <row r="315" customFormat="false" ht="15.75" hidden="false" customHeight="true" outlineLevel="0" collapsed="false">
      <c r="B315" s="75"/>
      <c r="C315" s="75"/>
      <c r="K315" s="75"/>
      <c r="M315" s="73" t="str">
        <f aca="false">IF(OR(B315&lt;&gt;"Yielding",E315="",F315="",F315&lt;6),"",ROUND(E315*100/(40+6*F315),1))</f>
        <v/>
      </c>
    </row>
    <row r="316" customFormat="false" ht="15.75" hidden="false" customHeight="true" outlineLevel="0" collapsed="false">
      <c r="B316" s="75"/>
      <c r="C316" s="75"/>
      <c r="K316" s="75"/>
      <c r="M316" s="73" t="str">
        <f aca="false">IF(OR(B316&lt;&gt;"Yielding",E316="",F316="",F316&lt;6),"",ROUND(E316*100/(40+6*F316),1))</f>
        <v/>
      </c>
    </row>
    <row r="317" customFormat="false" ht="15.75" hidden="false" customHeight="true" outlineLevel="0" collapsed="false">
      <c r="B317" s="75"/>
      <c r="C317" s="75"/>
      <c r="K317" s="75"/>
      <c r="M317" s="73" t="str">
        <f aca="false">IF(OR(B317&lt;&gt;"Yielding",E317="",F317="",F317&lt;6),"",ROUND(E317*100/(40+6*F317),1))</f>
        <v/>
      </c>
    </row>
    <row r="318" customFormat="false" ht="15.75" hidden="false" customHeight="true" outlineLevel="0" collapsed="false">
      <c r="B318" s="75"/>
      <c r="C318" s="75"/>
      <c r="K318" s="75"/>
      <c r="M318" s="73" t="str">
        <f aca="false">IF(OR(B318&lt;&gt;"Yielding",E318="",F318="",F318&lt;6),"",ROUND(E318*100/(40+6*F318),1))</f>
        <v/>
      </c>
    </row>
    <row r="319" customFormat="false" ht="15.75" hidden="false" customHeight="true" outlineLevel="0" collapsed="false">
      <c r="B319" s="75"/>
      <c r="C319" s="75"/>
      <c r="K319" s="75"/>
      <c r="M319" s="73" t="str">
        <f aca="false">IF(OR(B319&lt;&gt;"Yielding",E319="",F319="",F319&lt;6),"",ROUND(E319*100/(40+6*F319),1))</f>
        <v/>
      </c>
    </row>
    <row r="320" customFormat="false" ht="15.75" hidden="false" customHeight="true" outlineLevel="0" collapsed="false">
      <c r="B320" s="75"/>
      <c r="C320" s="75"/>
      <c r="K320" s="75"/>
      <c r="M320" s="73" t="str">
        <f aca="false">IF(OR(B320&lt;&gt;"Yielding",E320="",F320="",F320&lt;6),"",ROUND(E320*100/(40+6*F320),1))</f>
        <v/>
      </c>
    </row>
    <row r="321" customFormat="false" ht="15.75" hidden="false" customHeight="true" outlineLevel="0" collapsed="false">
      <c r="B321" s="75"/>
      <c r="C321" s="75"/>
      <c r="K321" s="75"/>
      <c r="M321" s="73" t="str">
        <f aca="false">IF(OR(B321&lt;&gt;"Yielding",E321="",F321="",F321&lt;6),"",ROUND(E321*100/(40+6*F321),1))</f>
        <v/>
      </c>
    </row>
    <row r="322" customFormat="false" ht="15.75" hidden="false" customHeight="true" outlineLevel="0" collapsed="false">
      <c r="B322" s="75"/>
      <c r="C322" s="75"/>
      <c r="K322" s="75"/>
      <c r="M322" s="73" t="str">
        <f aca="false">IF(OR(B322&lt;&gt;"Yielding",E322="",F322="",F322&lt;6),"",ROUND(E322*100/(40+6*F322),1))</f>
        <v/>
      </c>
    </row>
    <row r="323" customFormat="false" ht="15.75" hidden="false" customHeight="true" outlineLevel="0" collapsed="false">
      <c r="B323" s="75"/>
      <c r="C323" s="75"/>
      <c r="K323" s="75"/>
      <c r="M323" s="73" t="str">
        <f aca="false">IF(OR(B323&lt;&gt;"Yielding",E323="",F323="",F323&lt;6),"",ROUND(E323*100/(40+6*F323),1))</f>
        <v/>
      </c>
    </row>
    <row r="324" customFormat="false" ht="15.75" hidden="false" customHeight="true" outlineLevel="0" collapsed="false">
      <c r="B324" s="75"/>
      <c r="C324" s="75"/>
      <c r="K324" s="75"/>
      <c r="M324" s="73" t="str">
        <f aca="false">IF(OR(B324&lt;&gt;"Yielding",E324="",F324="",F324&lt;6),"",ROUND(E324*100/(40+6*F324),1))</f>
        <v/>
      </c>
    </row>
    <row r="325" customFormat="false" ht="15.75" hidden="false" customHeight="true" outlineLevel="0" collapsed="false">
      <c r="B325" s="75"/>
      <c r="C325" s="75"/>
      <c r="K325" s="75"/>
      <c r="M325" s="73" t="str">
        <f aca="false">IF(OR(B325&lt;&gt;"Yielding",E325="",F325="",F325&lt;6),"",ROUND(E325*100/(40+6*F325),1))</f>
        <v/>
      </c>
    </row>
    <row r="326" customFormat="false" ht="15.75" hidden="false" customHeight="true" outlineLevel="0" collapsed="false">
      <c r="B326" s="75"/>
      <c r="C326" s="75"/>
      <c r="K326" s="75"/>
      <c r="M326" s="73" t="str">
        <f aca="false">IF(OR(B326&lt;&gt;"Yielding",E326="",F326="",F326&lt;6),"",ROUND(E326*100/(40+6*F326),1))</f>
        <v/>
      </c>
    </row>
    <row r="327" customFormat="false" ht="15.75" hidden="false" customHeight="true" outlineLevel="0" collapsed="false">
      <c r="B327" s="75"/>
      <c r="C327" s="75"/>
      <c r="K327" s="75"/>
      <c r="M327" s="73" t="str">
        <f aca="false">IF(OR(B327&lt;&gt;"Yielding",E327="",F327="",F327&lt;6),"",ROUND(E327*100/(40+6*F327),1))</f>
        <v/>
      </c>
    </row>
    <row r="328" customFormat="false" ht="15.75" hidden="false" customHeight="true" outlineLevel="0" collapsed="false">
      <c r="B328" s="75"/>
      <c r="C328" s="75"/>
      <c r="K328" s="75"/>
      <c r="M328" s="73" t="str">
        <f aca="false">IF(OR(B328&lt;&gt;"Yielding",E328="",F328="",F328&lt;6),"",ROUND(E328*100/(40+6*F328),1))</f>
        <v/>
      </c>
    </row>
    <row r="329" customFormat="false" ht="15.75" hidden="false" customHeight="true" outlineLevel="0" collapsed="false">
      <c r="B329" s="75"/>
      <c r="C329" s="75"/>
      <c r="K329" s="75"/>
      <c r="M329" s="73" t="str">
        <f aca="false">IF(OR(B329&lt;&gt;"Yielding",E329="",F329="",F329&lt;6),"",ROUND(E329*100/(40+6*F329),1))</f>
        <v/>
      </c>
    </row>
    <row r="330" customFormat="false" ht="15.75" hidden="false" customHeight="true" outlineLevel="0" collapsed="false">
      <c r="B330" s="75"/>
      <c r="C330" s="75"/>
      <c r="K330" s="75"/>
      <c r="M330" s="73" t="str">
        <f aca="false">IF(OR(B330&lt;&gt;"Yielding",E330="",F330="",F330&lt;6),"",ROUND(E330*100/(40+6*F330),1))</f>
        <v/>
      </c>
    </row>
    <row r="331" customFormat="false" ht="15.75" hidden="false" customHeight="true" outlineLevel="0" collapsed="false">
      <c r="B331" s="75"/>
      <c r="C331" s="75"/>
      <c r="K331" s="75"/>
      <c r="M331" s="73" t="str">
        <f aca="false">IF(OR(B331&lt;&gt;"Yielding",E331="",F331="",F331&lt;6),"",ROUND(E331*100/(40+6*F331),1))</f>
        <v/>
      </c>
    </row>
    <row r="332" customFormat="false" ht="15.75" hidden="false" customHeight="true" outlineLevel="0" collapsed="false">
      <c r="B332" s="75"/>
      <c r="C332" s="75"/>
      <c r="K332" s="75"/>
      <c r="M332" s="73" t="str">
        <f aca="false">IF(OR(B332&lt;&gt;"Yielding",E332="",F332="",F332&lt;6),"",ROUND(E332*100/(40+6*F332),1))</f>
        <v/>
      </c>
    </row>
    <row r="333" customFormat="false" ht="15.75" hidden="false" customHeight="true" outlineLevel="0" collapsed="false">
      <c r="B333" s="75"/>
      <c r="C333" s="75"/>
      <c r="K333" s="75"/>
      <c r="M333" s="73" t="str">
        <f aca="false">IF(OR(B333&lt;&gt;"Yielding",E333="",F333="",F333&lt;6),"",ROUND(E333*100/(40+6*F333),1))</f>
        <v/>
      </c>
    </row>
    <row r="334" customFormat="false" ht="15.75" hidden="false" customHeight="true" outlineLevel="0" collapsed="false">
      <c r="B334" s="75"/>
      <c r="C334" s="75"/>
      <c r="K334" s="75"/>
      <c r="M334" s="73" t="str">
        <f aca="false">IF(OR(B334&lt;&gt;"Yielding",E334="",F334="",F334&lt;6),"",ROUND(E334*100/(40+6*F334),1))</f>
        <v/>
      </c>
    </row>
    <row r="335" customFormat="false" ht="15.75" hidden="false" customHeight="true" outlineLevel="0" collapsed="false">
      <c r="B335" s="75"/>
      <c r="C335" s="75"/>
      <c r="K335" s="75"/>
      <c r="M335" s="73" t="str">
        <f aca="false">IF(OR(B335&lt;&gt;"Yielding",E335="",F335="",F335&lt;6),"",ROUND(E335*100/(40+6*F335),1))</f>
        <v/>
      </c>
    </row>
    <row r="336" customFormat="false" ht="15.75" hidden="false" customHeight="true" outlineLevel="0" collapsed="false">
      <c r="B336" s="75"/>
      <c r="C336" s="75"/>
      <c r="K336" s="75"/>
      <c r="M336" s="73" t="str">
        <f aca="false">IF(OR(B336&lt;&gt;"Yielding",E336="",F336="",F336&lt;6),"",ROUND(E336*100/(40+6*F336),1))</f>
        <v/>
      </c>
    </row>
    <row r="337" customFormat="false" ht="15.75" hidden="false" customHeight="true" outlineLevel="0" collapsed="false">
      <c r="B337" s="75"/>
      <c r="C337" s="75"/>
      <c r="K337" s="75"/>
      <c r="M337" s="73" t="str">
        <f aca="false">IF(OR(B337&lt;&gt;"Yielding",E337="",F337="",F337&lt;6),"",ROUND(E337*100/(40+6*F337),1))</f>
        <v/>
      </c>
    </row>
    <row r="338" customFormat="false" ht="15.75" hidden="false" customHeight="true" outlineLevel="0" collapsed="false">
      <c r="B338" s="75"/>
      <c r="C338" s="75"/>
      <c r="K338" s="75"/>
      <c r="M338" s="73" t="str">
        <f aca="false">IF(OR(B338&lt;&gt;"Yielding",E338="",F338="",F338&lt;6),"",ROUND(E338*100/(40+6*F338),1))</f>
        <v/>
      </c>
    </row>
    <row r="339" customFormat="false" ht="15.75" hidden="false" customHeight="true" outlineLevel="0" collapsed="false">
      <c r="B339" s="75"/>
      <c r="C339" s="75"/>
      <c r="K339" s="75"/>
      <c r="M339" s="73" t="str">
        <f aca="false">IF(OR(B339&lt;&gt;"Yielding",E339="",F339="",F339&lt;6),"",ROUND(E339*100/(40+6*F339),1))</f>
        <v/>
      </c>
    </row>
    <row r="340" customFormat="false" ht="15.75" hidden="false" customHeight="true" outlineLevel="0" collapsed="false">
      <c r="B340" s="75"/>
      <c r="C340" s="75"/>
      <c r="K340" s="75"/>
      <c r="M340" s="73" t="str">
        <f aca="false">IF(OR(B340&lt;&gt;"Yielding",E340="",F340="",F340&lt;6),"",ROUND(E340*100/(40+6*F340),1))</f>
        <v/>
      </c>
    </row>
    <row r="341" customFormat="false" ht="15.75" hidden="false" customHeight="true" outlineLevel="0" collapsed="false">
      <c r="B341" s="75"/>
      <c r="C341" s="75"/>
      <c r="K341" s="75"/>
      <c r="M341" s="73" t="str">
        <f aca="false">IF(OR(B341&lt;&gt;"Yielding",E341="",F341="",F341&lt;6),"",ROUND(E341*100/(40+6*F341),1))</f>
        <v/>
      </c>
    </row>
    <row r="342" customFormat="false" ht="15.75" hidden="false" customHeight="true" outlineLevel="0" collapsed="false">
      <c r="B342" s="75"/>
      <c r="C342" s="75"/>
      <c r="K342" s="75"/>
      <c r="M342" s="73" t="str">
        <f aca="false">IF(OR(B342&lt;&gt;"Yielding",E342="",F342="",F342&lt;6),"",ROUND(E342*100/(40+6*F342),1))</f>
        <v/>
      </c>
    </row>
    <row r="343" customFormat="false" ht="15.75" hidden="false" customHeight="true" outlineLevel="0" collapsed="false">
      <c r="B343" s="75"/>
      <c r="C343" s="75"/>
      <c r="K343" s="75"/>
      <c r="M343" s="73" t="str">
        <f aca="false">IF(OR(B343&lt;&gt;"Yielding",E343="",F343="",F343&lt;6),"",ROUND(E343*100/(40+6*F343),1))</f>
        <v/>
      </c>
    </row>
    <row r="344" customFormat="false" ht="15.75" hidden="false" customHeight="true" outlineLevel="0" collapsed="false">
      <c r="B344" s="75"/>
      <c r="C344" s="75"/>
      <c r="K344" s="75"/>
      <c r="M344" s="73" t="str">
        <f aca="false">IF(OR(B344&lt;&gt;"Yielding",E344="",F344="",F344&lt;6),"",ROUND(E344*100/(40+6*F344),1))</f>
        <v/>
      </c>
    </row>
    <row r="345" customFormat="false" ht="15.75" hidden="false" customHeight="true" outlineLevel="0" collapsed="false">
      <c r="B345" s="75"/>
      <c r="C345" s="75"/>
      <c r="K345" s="75"/>
      <c r="M345" s="73" t="str">
        <f aca="false">IF(OR(B345&lt;&gt;"Yielding",E345="",F345="",F345&lt;6),"",ROUND(E345*100/(40+6*F345),1))</f>
        <v/>
      </c>
    </row>
    <row r="346" customFormat="false" ht="15.75" hidden="false" customHeight="true" outlineLevel="0" collapsed="false">
      <c r="B346" s="75"/>
      <c r="C346" s="75"/>
      <c r="K346" s="75"/>
      <c r="M346" s="73" t="str">
        <f aca="false">IF(OR(B346&lt;&gt;"Yielding",E346="",F346="",F346&lt;6),"",ROUND(E346*100/(40+6*F346),1))</f>
        <v/>
      </c>
    </row>
    <row r="347" customFormat="false" ht="15.75" hidden="false" customHeight="true" outlineLevel="0" collapsed="false">
      <c r="B347" s="75"/>
      <c r="C347" s="75"/>
      <c r="K347" s="75"/>
      <c r="M347" s="73" t="str">
        <f aca="false">IF(OR(B347&lt;&gt;"Yielding",E347="",F347="",F347&lt;6),"",ROUND(E347*100/(40+6*F347),1))</f>
        <v/>
      </c>
    </row>
    <row r="348" customFormat="false" ht="15.75" hidden="false" customHeight="true" outlineLevel="0" collapsed="false">
      <c r="B348" s="75"/>
      <c r="C348" s="75"/>
      <c r="K348" s="75"/>
      <c r="M348" s="73" t="str">
        <f aca="false">IF(OR(B348&lt;&gt;"Yielding",E348="",F348="",F348&lt;6),"",ROUND(E348*100/(40+6*F348),1))</f>
        <v/>
      </c>
    </row>
    <row r="349" customFormat="false" ht="15.75" hidden="false" customHeight="true" outlineLevel="0" collapsed="false">
      <c r="B349" s="75"/>
      <c r="C349" s="75"/>
      <c r="K349" s="75"/>
      <c r="M349" s="73" t="str">
        <f aca="false">IF(OR(B349&lt;&gt;"Yielding",E349="",F349="",F349&lt;6),"",ROUND(E349*100/(40+6*F349),1))</f>
        <v/>
      </c>
    </row>
    <row r="350" customFormat="false" ht="15.75" hidden="false" customHeight="true" outlineLevel="0" collapsed="false">
      <c r="B350" s="75"/>
      <c r="C350" s="75"/>
      <c r="K350" s="75"/>
      <c r="M350" s="73" t="str">
        <f aca="false">IF(OR(B350&lt;&gt;"Yielding",E350="",F350="",F350&lt;6),"",ROUND(E350*100/(40+6*F350),1))</f>
        <v/>
      </c>
    </row>
    <row r="351" customFormat="false" ht="15.75" hidden="false" customHeight="true" outlineLevel="0" collapsed="false">
      <c r="B351" s="75"/>
      <c r="C351" s="75"/>
      <c r="K351" s="75"/>
      <c r="M351" s="73" t="str">
        <f aca="false">IF(OR(B351&lt;&gt;"Yielding",E351="",F351="",F351&lt;6),"",ROUND(E351*100/(40+6*F351),1))</f>
        <v/>
      </c>
    </row>
    <row r="352" customFormat="false" ht="15.75" hidden="false" customHeight="true" outlineLevel="0" collapsed="false">
      <c r="B352" s="75"/>
      <c r="C352" s="75"/>
      <c r="K352" s="75"/>
      <c r="M352" s="73" t="str">
        <f aca="false">IF(OR(B352&lt;&gt;"Yielding",E352="",F352="",F352&lt;6),"",ROUND(E352*100/(40+6*F352),1))</f>
        <v/>
      </c>
    </row>
    <row r="353" customFormat="false" ht="15.75" hidden="false" customHeight="true" outlineLevel="0" collapsed="false">
      <c r="B353" s="75"/>
      <c r="C353" s="75"/>
      <c r="K353" s="75"/>
      <c r="M353" s="73" t="str">
        <f aca="false">IF(OR(B353&lt;&gt;"Yielding",E353="",F353="",F353&lt;6),"",ROUND(E353*100/(40+6*F353),1))</f>
        <v/>
      </c>
    </row>
    <row r="354" customFormat="false" ht="15.75" hidden="false" customHeight="true" outlineLevel="0" collapsed="false">
      <c r="B354" s="75"/>
      <c r="C354" s="75"/>
      <c r="K354" s="75"/>
      <c r="M354" s="73" t="str">
        <f aca="false">IF(OR(B354&lt;&gt;"Yielding",E354="",F354="",F354&lt;6),"",ROUND(E354*100/(40+6*F354),1))</f>
        <v/>
      </c>
    </row>
    <row r="355" customFormat="false" ht="15.75" hidden="false" customHeight="true" outlineLevel="0" collapsed="false">
      <c r="B355" s="75"/>
      <c r="C355" s="75"/>
      <c r="K355" s="75"/>
      <c r="M355" s="73" t="str">
        <f aca="false">IF(OR(B355&lt;&gt;"Yielding",E355="",F355="",F355&lt;6),"",ROUND(E355*100/(40+6*F355),1))</f>
        <v/>
      </c>
    </row>
    <row r="356" customFormat="false" ht="15.75" hidden="false" customHeight="true" outlineLevel="0" collapsed="false">
      <c r="B356" s="75"/>
      <c r="C356" s="75"/>
      <c r="K356" s="75"/>
      <c r="M356" s="73" t="str">
        <f aca="false">IF(OR(B356&lt;&gt;"Yielding",E356="",F356="",F356&lt;6),"",ROUND(E356*100/(40+6*F356),1))</f>
        <v/>
      </c>
    </row>
    <row r="357" customFormat="false" ht="15.75" hidden="false" customHeight="true" outlineLevel="0" collapsed="false">
      <c r="B357" s="75"/>
      <c r="C357" s="75"/>
      <c r="K357" s="75"/>
      <c r="M357" s="73" t="str">
        <f aca="false">IF(OR(B357&lt;&gt;"Yielding",E357="",F357="",F357&lt;6),"",ROUND(E357*100/(40+6*F357),1))</f>
        <v/>
      </c>
    </row>
    <row r="358" customFormat="false" ht="15.75" hidden="false" customHeight="true" outlineLevel="0" collapsed="false">
      <c r="B358" s="75"/>
      <c r="C358" s="75"/>
      <c r="K358" s="75"/>
      <c r="M358" s="73" t="str">
        <f aca="false">IF(OR(B358&lt;&gt;"Yielding",E358="",F358="",F358&lt;6),"",ROUND(E358*100/(40+6*F358),1))</f>
        <v/>
      </c>
    </row>
    <row r="359" customFormat="false" ht="15.75" hidden="false" customHeight="true" outlineLevel="0" collapsed="false">
      <c r="B359" s="75"/>
      <c r="C359" s="75"/>
      <c r="K359" s="75"/>
      <c r="M359" s="73" t="str">
        <f aca="false">IF(OR(B359&lt;&gt;"Yielding",E359="",F359="",F359&lt;6),"",ROUND(E359*100/(40+6*F359),1))</f>
        <v/>
      </c>
    </row>
    <row r="360" customFormat="false" ht="15.75" hidden="false" customHeight="true" outlineLevel="0" collapsed="false">
      <c r="B360" s="75"/>
      <c r="C360" s="75"/>
      <c r="K360" s="75"/>
      <c r="M360" s="73" t="str">
        <f aca="false">IF(OR(B360&lt;&gt;"Yielding",E360="",F360="",F360&lt;6),"",ROUND(E360*100/(40+6*F360),1))</f>
        <v/>
      </c>
    </row>
    <row r="361" customFormat="false" ht="15.75" hidden="false" customHeight="true" outlineLevel="0" collapsed="false">
      <c r="B361" s="75"/>
      <c r="C361" s="75"/>
      <c r="K361" s="75"/>
      <c r="M361" s="73" t="str">
        <f aca="false">IF(OR(B361&lt;&gt;"Yielding",E361="",F361="",F361&lt;6),"",ROUND(E361*100/(40+6*F361),1))</f>
        <v/>
      </c>
    </row>
    <row r="362" customFormat="false" ht="15.75" hidden="false" customHeight="true" outlineLevel="0" collapsed="false">
      <c r="B362" s="75"/>
      <c r="C362" s="75"/>
      <c r="K362" s="75"/>
      <c r="M362" s="73" t="str">
        <f aca="false">IF(OR(B362&lt;&gt;"Yielding",E362="",F362="",F362&lt;6),"",ROUND(E362*100/(40+6*F362),1))</f>
        <v/>
      </c>
    </row>
    <row r="363" customFormat="false" ht="15.75" hidden="false" customHeight="true" outlineLevel="0" collapsed="false">
      <c r="B363" s="75"/>
      <c r="C363" s="75"/>
      <c r="K363" s="75"/>
      <c r="M363" s="73" t="str">
        <f aca="false">IF(OR(B363&lt;&gt;"Yielding",E363="",F363="",F363&lt;6),"",ROUND(E363*100/(40+6*F363),1))</f>
        <v/>
      </c>
    </row>
    <row r="364" customFormat="false" ht="15.75" hidden="false" customHeight="true" outlineLevel="0" collapsed="false">
      <c r="B364" s="75"/>
      <c r="C364" s="75"/>
      <c r="K364" s="75"/>
      <c r="M364" s="73" t="str">
        <f aca="false">IF(OR(B364&lt;&gt;"Yielding",E364="",F364="",F364&lt;6),"",ROUND(E364*100/(40+6*F364),1))</f>
        <v/>
      </c>
    </row>
    <row r="365" customFormat="false" ht="15.75" hidden="false" customHeight="true" outlineLevel="0" collapsed="false">
      <c r="B365" s="75"/>
      <c r="C365" s="75"/>
      <c r="K365" s="75"/>
      <c r="M365" s="73" t="str">
        <f aca="false">IF(OR(B365&lt;&gt;"Yielding",E365="",F365="",F365&lt;6),"",ROUND(E365*100/(40+6*F365),1))</f>
        <v/>
      </c>
    </row>
    <row r="366" customFormat="false" ht="15.75" hidden="false" customHeight="true" outlineLevel="0" collapsed="false">
      <c r="B366" s="75"/>
      <c r="C366" s="75"/>
      <c r="K366" s="75"/>
      <c r="M366" s="73" t="str">
        <f aca="false">IF(OR(B366&lt;&gt;"Yielding",E366="",F366="",F366&lt;6),"",ROUND(E366*100/(40+6*F366),1))</f>
        <v/>
      </c>
    </row>
    <row r="367" customFormat="false" ht="15.75" hidden="false" customHeight="true" outlineLevel="0" collapsed="false">
      <c r="B367" s="75"/>
      <c r="C367" s="75"/>
      <c r="K367" s="75"/>
      <c r="M367" s="73" t="str">
        <f aca="false">IF(OR(B367&lt;&gt;"Yielding",E367="",F367="",F367&lt;6),"",ROUND(E367*100/(40+6*F367),1))</f>
        <v/>
      </c>
    </row>
    <row r="368" customFormat="false" ht="15.75" hidden="false" customHeight="true" outlineLevel="0" collapsed="false">
      <c r="B368" s="75"/>
      <c r="C368" s="75"/>
      <c r="K368" s="75"/>
      <c r="M368" s="73" t="str">
        <f aca="false">IF(OR(B368&lt;&gt;"Yielding",E368="",F368="",F368&lt;6),"",ROUND(E368*100/(40+6*F368),1))</f>
        <v/>
      </c>
    </row>
    <row r="369" customFormat="false" ht="15.75" hidden="false" customHeight="true" outlineLevel="0" collapsed="false">
      <c r="B369" s="75"/>
      <c r="C369" s="75"/>
      <c r="K369" s="75"/>
      <c r="M369" s="73" t="str">
        <f aca="false">IF(OR(B369&lt;&gt;"Yielding",E369="",F369="",F369&lt;6),"",ROUND(E369*100/(40+6*F369),1))</f>
        <v/>
      </c>
    </row>
    <row r="370" customFormat="false" ht="15.75" hidden="false" customHeight="true" outlineLevel="0" collapsed="false">
      <c r="B370" s="75"/>
      <c r="C370" s="75"/>
      <c r="K370" s="75"/>
      <c r="M370" s="73" t="str">
        <f aca="false">IF(OR(B370&lt;&gt;"Yielding",E370="",F370="",F370&lt;6),"",ROUND(E370*100/(40+6*F370),1))</f>
        <v/>
      </c>
    </row>
    <row r="371" customFormat="false" ht="15.75" hidden="false" customHeight="true" outlineLevel="0" collapsed="false">
      <c r="B371" s="75"/>
      <c r="C371" s="75"/>
      <c r="K371" s="75"/>
      <c r="M371" s="73" t="str">
        <f aca="false">IF(OR(B371&lt;&gt;"Yielding",E371="",F371="",F371&lt;6),"",ROUND(E371*100/(40+6*F371),1))</f>
        <v/>
      </c>
    </row>
    <row r="372" customFormat="false" ht="15.75" hidden="false" customHeight="true" outlineLevel="0" collapsed="false">
      <c r="B372" s="75"/>
      <c r="C372" s="75"/>
      <c r="K372" s="75"/>
      <c r="M372" s="73" t="str">
        <f aca="false">IF(OR(B372&lt;&gt;"Yielding",E372="",F372="",F372&lt;6),"",ROUND(E372*100/(40+6*F372),1))</f>
        <v/>
      </c>
    </row>
    <row r="373" customFormat="false" ht="15.75" hidden="false" customHeight="true" outlineLevel="0" collapsed="false">
      <c r="B373" s="75"/>
      <c r="C373" s="75"/>
      <c r="K373" s="75"/>
      <c r="M373" s="73" t="str">
        <f aca="false">IF(OR(B373&lt;&gt;"Yielding",E373="",F373="",F373&lt;6),"",ROUND(E373*100/(40+6*F373),1))</f>
        <v/>
      </c>
    </row>
    <row r="374" customFormat="false" ht="15.75" hidden="false" customHeight="true" outlineLevel="0" collapsed="false">
      <c r="B374" s="75"/>
      <c r="C374" s="75"/>
      <c r="K374" s="75"/>
      <c r="M374" s="73" t="str">
        <f aca="false">IF(OR(B374&lt;&gt;"Yielding",E374="",F374="",F374&lt;6),"",ROUND(E374*100/(40+6*F374),1))</f>
        <v/>
      </c>
    </row>
    <row r="375" customFormat="false" ht="15.75" hidden="false" customHeight="true" outlineLevel="0" collapsed="false">
      <c r="B375" s="75"/>
      <c r="C375" s="75"/>
      <c r="K375" s="75"/>
      <c r="M375" s="73" t="str">
        <f aca="false">IF(OR(B375&lt;&gt;"Yielding",E375="",F375="",F375&lt;6),"",ROUND(E375*100/(40+6*F375),1))</f>
        <v/>
      </c>
    </row>
    <row r="376" customFormat="false" ht="15.75" hidden="false" customHeight="true" outlineLevel="0" collapsed="false">
      <c r="B376" s="75"/>
      <c r="C376" s="75"/>
      <c r="K376" s="75"/>
      <c r="M376" s="73" t="str">
        <f aca="false">IF(OR(B376&lt;&gt;"Yielding",E376="",F376="",F376&lt;6),"",ROUND(E376*100/(40+6*F376),1))</f>
        <v/>
      </c>
    </row>
    <row r="377" customFormat="false" ht="15.75" hidden="false" customHeight="true" outlineLevel="0" collapsed="false">
      <c r="B377" s="75"/>
      <c r="C377" s="75"/>
      <c r="K377" s="75"/>
      <c r="M377" s="73" t="str">
        <f aca="false">IF(OR(B377&lt;&gt;"Yielding",E377="",F377="",F377&lt;6),"",ROUND(E377*100/(40+6*F377),1))</f>
        <v/>
      </c>
    </row>
    <row r="378" customFormat="false" ht="15.75" hidden="false" customHeight="true" outlineLevel="0" collapsed="false">
      <c r="B378" s="75"/>
      <c r="C378" s="75"/>
      <c r="K378" s="75"/>
      <c r="M378" s="73" t="str">
        <f aca="false">IF(OR(B378&lt;&gt;"Yielding",E378="",F378="",F378&lt;6),"",ROUND(E378*100/(40+6*F378),1))</f>
        <v/>
      </c>
    </row>
    <row r="379" customFormat="false" ht="15.75" hidden="false" customHeight="true" outlineLevel="0" collapsed="false">
      <c r="B379" s="75"/>
      <c r="C379" s="75"/>
      <c r="K379" s="75"/>
      <c r="M379" s="73" t="str">
        <f aca="false">IF(OR(B379&lt;&gt;"Yielding",E379="",F379="",F379&lt;6),"",ROUND(E379*100/(40+6*F379),1))</f>
        <v/>
      </c>
    </row>
    <row r="380" customFormat="false" ht="15.75" hidden="false" customHeight="true" outlineLevel="0" collapsed="false">
      <c r="B380" s="75"/>
      <c r="C380" s="75"/>
      <c r="K380" s="75"/>
      <c r="M380" s="73" t="str">
        <f aca="false">IF(OR(B380&lt;&gt;"Yielding",E380="",F380="",F380&lt;6),"",ROUND(E380*100/(40+6*F380),1))</f>
        <v/>
      </c>
    </row>
    <row r="381" customFormat="false" ht="15.75" hidden="false" customHeight="true" outlineLevel="0" collapsed="false">
      <c r="B381" s="75"/>
      <c r="C381" s="75"/>
      <c r="K381" s="75"/>
      <c r="M381" s="73" t="str">
        <f aca="false">IF(OR(B381&lt;&gt;"Yielding",E381="",F381="",F381&lt;6),"",ROUND(E381*100/(40+6*F381),1))</f>
        <v/>
      </c>
    </row>
    <row r="382" customFormat="false" ht="15.75" hidden="false" customHeight="true" outlineLevel="0" collapsed="false">
      <c r="B382" s="75"/>
      <c r="C382" s="75"/>
      <c r="K382" s="75"/>
      <c r="M382" s="73" t="str">
        <f aca="false">IF(OR(B382&lt;&gt;"Yielding",E382="",F382="",F382&lt;6),"",ROUND(E382*100/(40+6*F382),1))</f>
        <v/>
      </c>
    </row>
    <row r="383" customFormat="false" ht="15.75" hidden="false" customHeight="true" outlineLevel="0" collapsed="false">
      <c r="B383" s="75"/>
      <c r="C383" s="75"/>
      <c r="K383" s="75"/>
      <c r="M383" s="73" t="str">
        <f aca="false">IF(OR(B383&lt;&gt;"Yielding",E383="",F383="",F383&lt;6),"",ROUND(E383*100/(40+6*F383),1))</f>
        <v/>
      </c>
    </row>
    <row r="384" customFormat="false" ht="15.75" hidden="false" customHeight="true" outlineLevel="0" collapsed="false">
      <c r="B384" s="75"/>
      <c r="C384" s="75"/>
      <c r="K384" s="75"/>
      <c r="M384" s="73" t="str">
        <f aca="false">IF(OR(B384&lt;&gt;"Yielding",E384="",F384="",F384&lt;6),"",ROUND(E384*100/(40+6*F384),1))</f>
        <v/>
      </c>
    </row>
    <row r="385" customFormat="false" ht="15.75" hidden="false" customHeight="true" outlineLevel="0" collapsed="false">
      <c r="B385" s="75"/>
      <c r="C385" s="75"/>
      <c r="K385" s="75"/>
      <c r="M385" s="73" t="str">
        <f aca="false">IF(OR(B385&lt;&gt;"Yielding",E385="",F385="",F385&lt;6),"",ROUND(E385*100/(40+6*F385),1))</f>
        <v/>
      </c>
    </row>
    <row r="386" customFormat="false" ht="15.75" hidden="false" customHeight="true" outlineLevel="0" collapsed="false">
      <c r="B386" s="75"/>
      <c r="C386" s="75"/>
      <c r="K386" s="75"/>
      <c r="M386" s="73" t="str">
        <f aca="false">IF(OR(B386&lt;&gt;"Yielding",E386="",F386="",F386&lt;6),"",ROUND(E386*100/(40+6*F386),1))</f>
        <v/>
      </c>
    </row>
    <row r="387" customFormat="false" ht="15.75" hidden="false" customHeight="true" outlineLevel="0" collapsed="false">
      <c r="B387" s="75"/>
      <c r="C387" s="75"/>
      <c r="K387" s="75"/>
      <c r="M387" s="73" t="str">
        <f aca="false">IF(OR(B387&lt;&gt;"Yielding",E387="",F387="",F387&lt;6),"",ROUND(E387*100/(40+6*F387),1))</f>
        <v/>
      </c>
    </row>
    <row r="388" customFormat="false" ht="15.75" hidden="false" customHeight="true" outlineLevel="0" collapsed="false">
      <c r="B388" s="75"/>
      <c r="C388" s="75"/>
      <c r="K388" s="75"/>
      <c r="M388" s="73" t="str">
        <f aca="false">IF(OR(B388&lt;&gt;"Yielding",E388="",F388="",F388&lt;6),"",ROUND(E388*100/(40+6*F388),1))</f>
        <v/>
      </c>
    </row>
    <row r="389" customFormat="false" ht="15.75" hidden="false" customHeight="true" outlineLevel="0" collapsed="false">
      <c r="B389" s="75"/>
      <c r="C389" s="75"/>
      <c r="K389" s="75"/>
      <c r="M389" s="73" t="str">
        <f aca="false">IF(OR(B389&lt;&gt;"Yielding",E389="",F389="",F389&lt;6),"",ROUND(E389*100/(40+6*F389),1))</f>
        <v/>
      </c>
    </row>
    <row r="390" customFormat="false" ht="15.75" hidden="false" customHeight="true" outlineLevel="0" collapsed="false">
      <c r="B390" s="75"/>
      <c r="C390" s="75"/>
      <c r="K390" s="75"/>
      <c r="M390" s="73" t="str">
        <f aca="false">IF(OR(B390&lt;&gt;"Yielding",E390="",F390="",F390&lt;6),"",ROUND(E390*100/(40+6*F390),1))</f>
        <v/>
      </c>
    </row>
    <row r="391" customFormat="false" ht="15.75" hidden="false" customHeight="true" outlineLevel="0" collapsed="false">
      <c r="B391" s="75"/>
      <c r="C391" s="75"/>
      <c r="K391" s="75"/>
      <c r="M391" s="73" t="str">
        <f aca="false">IF(OR(B391&lt;&gt;"Yielding",E391="",F391="",F391&lt;6),"",ROUND(E391*100/(40+6*F391),1))</f>
        <v/>
      </c>
    </row>
    <row r="392" customFormat="false" ht="15.75" hidden="false" customHeight="true" outlineLevel="0" collapsed="false">
      <c r="B392" s="75"/>
      <c r="C392" s="75"/>
      <c r="K392" s="75"/>
      <c r="M392" s="73" t="str">
        <f aca="false">IF(OR(B392&lt;&gt;"Yielding",E392="",F392="",F392&lt;6),"",ROUND(E392*100/(40+6*F392),1))</f>
        <v/>
      </c>
    </row>
    <row r="393" customFormat="false" ht="15.75" hidden="false" customHeight="true" outlineLevel="0" collapsed="false">
      <c r="B393" s="75"/>
      <c r="C393" s="75"/>
      <c r="K393" s="75"/>
      <c r="M393" s="73" t="str">
        <f aca="false">IF(OR(B393&lt;&gt;"Yielding",E393="",F393="",F393&lt;6),"",ROUND(E393*100/(40+6*F393),1))</f>
        <v/>
      </c>
    </row>
    <row r="394" customFormat="false" ht="15.75" hidden="false" customHeight="true" outlineLevel="0" collapsed="false">
      <c r="B394" s="75"/>
      <c r="C394" s="75"/>
      <c r="K394" s="75"/>
      <c r="M394" s="73" t="str">
        <f aca="false">IF(OR(B394&lt;&gt;"Yielding",E394="",F394="",F394&lt;6),"",ROUND(E394*100/(40+6*F394),1))</f>
        <v/>
      </c>
    </row>
    <row r="395" customFormat="false" ht="15.75" hidden="false" customHeight="true" outlineLevel="0" collapsed="false">
      <c r="B395" s="75"/>
      <c r="C395" s="75"/>
      <c r="K395" s="75"/>
      <c r="M395" s="73" t="str">
        <f aca="false">IF(OR(B395&lt;&gt;"Yielding",E395="",F395="",F395&lt;6),"",ROUND(E395*100/(40+6*F395),1))</f>
        <v/>
      </c>
    </row>
    <row r="396" customFormat="false" ht="15.75" hidden="false" customHeight="true" outlineLevel="0" collapsed="false">
      <c r="B396" s="75"/>
      <c r="C396" s="75"/>
      <c r="K396" s="75"/>
      <c r="M396" s="73" t="str">
        <f aca="false">IF(OR(B396&lt;&gt;"Yielding",E396="",F396="",F396&lt;6),"",ROUND(E396*100/(40+6*F396),1))</f>
        <v/>
      </c>
    </row>
    <row r="397" customFormat="false" ht="15.75" hidden="false" customHeight="true" outlineLevel="0" collapsed="false">
      <c r="B397" s="75"/>
      <c r="C397" s="75"/>
      <c r="K397" s="75"/>
      <c r="M397" s="73" t="str">
        <f aca="false">IF(OR(B397&lt;&gt;"Yielding",E397="",F397="",F397&lt;6),"",ROUND(E397*100/(40+6*F397),1))</f>
        <v/>
      </c>
    </row>
    <row r="398" customFormat="false" ht="15.75" hidden="false" customHeight="true" outlineLevel="0" collapsed="false">
      <c r="B398" s="75"/>
      <c r="C398" s="75"/>
      <c r="K398" s="75"/>
      <c r="M398" s="73" t="str">
        <f aca="false">IF(OR(B398&lt;&gt;"Yielding",E398="",F398="",F398&lt;6),"",ROUND(E398*100/(40+6*F398),1))</f>
        <v/>
      </c>
    </row>
    <row r="399" customFormat="false" ht="15.75" hidden="false" customHeight="true" outlineLevel="0" collapsed="false">
      <c r="B399" s="75"/>
      <c r="C399" s="75"/>
      <c r="K399" s="75"/>
      <c r="M399" s="73" t="str">
        <f aca="false">IF(OR(B399&lt;&gt;"Yielding",E399="",F399="",F399&lt;6),"",ROUND(E399*100/(40+6*F399),1))</f>
        <v/>
      </c>
    </row>
    <row r="400" customFormat="false" ht="15.75" hidden="false" customHeight="true" outlineLevel="0" collapsed="false">
      <c r="B400" s="75"/>
      <c r="C400" s="75"/>
      <c r="K400" s="75"/>
      <c r="M400" s="73" t="str">
        <f aca="false">IF(OR(B400&lt;&gt;"Yielding",E400="",F400="",F400&lt;6),"",ROUND(E400*100/(40+6*F400),1))</f>
        <v/>
      </c>
    </row>
    <row r="401" customFormat="false" ht="15.75" hidden="false" customHeight="true" outlineLevel="0" collapsed="false">
      <c r="B401" s="75"/>
      <c r="C401" s="75"/>
      <c r="K401" s="75"/>
      <c r="M401" s="73" t="str">
        <f aca="false">IF(OR(B401&lt;&gt;"Yielding",E401="",F401="",F401&lt;6),"",ROUND(E401*100/(40+6*F401),1))</f>
        <v/>
      </c>
    </row>
    <row r="402" customFormat="false" ht="15.75" hidden="false" customHeight="true" outlineLevel="0" collapsed="false">
      <c r="B402" s="75"/>
      <c r="C402" s="75"/>
      <c r="K402" s="75"/>
      <c r="M402" s="73" t="str">
        <f aca="false">IF(OR(B402&lt;&gt;"Yielding",E402="",F402="",F402&lt;6),"",ROUND(E402*100/(40+6*F402),1))</f>
        <v/>
      </c>
    </row>
    <row r="403" customFormat="false" ht="15.75" hidden="false" customHeight="true" outlineLevel="0" collapsed="false">
      <c r="B403" s="75"/>
      <c r="C403" s="75"/>
      <c r="K403" s="75"/>
      <c r="M403" s="73" t="str">
        <f aca="false">IF(OR(B403&lt;&gt;"Yielding",E403="",F403="",F403&lt;6),"",ROUND(E403*100/(40+6*F403),1))</f>
        <v/>
      </c>
    </row>
    <row r="404" customFormat="false" ht="15.75" hidden="false" customHeight="true" outlineLevel="0" collapsed="false">
      <c r="B404" s="75"/>
      <c r="C404" s="75"/>
      <c r="K404" s="75"/>
      <c r="M404" s="73" t="str">
        <f aca="false">IF(OR(B404&lt;&gt;"Yielding",E404="",F404="",F404&lt;6),"",ROUND(E404*100/(40+6*F404),1))</f>
        <v/>
      </c>
    </row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H1"/>
    <mergeCell ref="A2:H2"/>
  </mergeCells>
  <conditionalFormatting sqref="F5:F1000">
    <cfRule type="cellIs" priority="2" operator="between" aboveAverage="0" equalAverage="0" bottom="0" percent="0" rank="0" text="" dxfId="0">
      <formula>1</formula>
      <formula>2</formula>
    </cfRule>
    <cfRule type="cellIs" priority="3" operator="equal" aboveAverage="0" equalAverage="0" bottom="0" percent="0" rank="0" text="" dxfId="1">
      <formula>3</formula>
    </cfRule>
    <cfRule type="cellIs" priority="4" operator="between" aboveAverage="0" equalAverage="0" bottom="0" percent="0" rank="0" text="" dxfId="2">
      <formula>4</formula>
      <formula>5</formula>
    </cfRule>
  </conditionalFormatting>
  <dataValidations count="10">
    <dataValidation allowBlank="true" errorStyle="stop" operator="between" prompt="Invalid score - Strength Felt must be 1–10" showDropDown="false" showErrorMessage="true" showInputMessage="true" sqref="I5:I404" type="decimal">
      <formula1>1</formula1>
      <formula2>10</formula2>
    </dataValidation>
    <dataValidation allowBlank="true" errorStyle="stop" operator="between" prompt="Invalid feel score - Next-Day Feel: 1=fresh, 5=sharp pain" showDropDown="false" showErrorMessage="true" showInputMessage="true" sqref="J5:J404" type="decimal">
      <formula1>1</formula1>
      <formula2>5</formula2>
    </dataValidation>
    <dataValidation allowBlank="true" errorStyle="stop" operator="between" prompt="Invalid set count - Back-off sets must be a whole number (0–15)" showDropDown="false" showErrorMessage="true" showInputMessage="true" sqref="G5:G404" type="decimal">
      <formula1>0</formula1>
      <formula2>15</formula2>
    </dataValidation>
    <dataValidation allowBlank="true" errorStyle="stop" operator="between" prompt="Invalid feel score - Session Feel: 1=effortless, 5=failed" showDropDown="false" showErrorMessage="true" showInputMessage="true" sqref="H5:H404" type="decimal">
      <formula1>1</formula1>
      <formula2>5</formula2>
    </dataValidation>
    <dataValidation allowBlank="true" errorStyle="stop" operator="between" prompt="Invalid RPE - RPE must be 6–10 (decimals ok: 8.5, 9.5)" showDropDown="false" showErrorMessage="true" showInputMessage="true" sqref="F5:F404" type="decimal">
      <formula1>6</formula1>
      <formula2>10</formula2>
    </dataValidation>
    <dataValidation allowBlank="true" errorStyle="stop" operator="between" showDropDown="false" showErrorMessage="false" showInputMessage="false" sqref="K5:K404" type="list">
      <formula1>"Trans I 1/4,Trans I 2/4,Trans I 3/4,Trans I 4/4,Deload+Test,Trans II 1/4,Trans II 2/4,Trans II 3/4,Trans II 4/4,Peak 1/4,Peak 2/4,Peak 3/4,Peak 4/4,Deload+Final Test,Realization,Accumulation"</formula1>
      <formula2>0</formula2>
    </dataValidation>
    <dataValidation allowBlank="true" errorStyle="stop" operator="between" showDropDown="false" showErrorMessage="false" showInputMessage="false" sqref="C5:C404" type="list">
      <formula1>"Board,Outdoor,Gym,Other"</formula1>
      <formula2>0</formula2>
    </dataValidation>
    <dataValidation allowBlank="true" errorStyle="stop" operator="between" prompt="Invalid day role - Use: Heavy, Volume, Test, Deload, OI, or Other" showDropDown="false" showErrorMessage="true" showInputMessage="true" sqref="D5:D404" type="list">
      <formula1>"Heavy,Volume,Test,Deload,OI,Other"</formula1>
      <formula2>0</formula2>
    </dataValidation>
    <dataValidation allowBlank="true" errorStyle="stop" operator="greaterThanOrEqual" prompt="Invalid load - Top Set Load must be a number &gt;= 0 (e.g. 22.5)" showDropDown="false" showErrorMessage="true" showInputMessage="true" sqref="E5:E404" type="decimal">
      <formula1>0</formula1>
      <formula2>0</formula2>
    </dataValidation>
    <dataValidation allowBlank="true" errorStyle="stop" operator="between" prompt="Invalid session type - Use: Yielding, OI, or Climbing" showDropDown="false" showErrorMessage="true" showInputMessage="true" sqref="B5:B404" type="list">
      <formula1>"Yielding,OI,Climbing"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.71"/>
  </cols>
  <sheetData>
    <row r="1" customFormat="false" ht="17.25" hidden="false" customHeight="true" outlineLevel="0" collapsed="false">
      <c r="A1" s="67" t="s">
        <v>278</v>
      </c>
      <c r="B1" s="67"/>
      <c r="C1" s="67"/>
      <c r="D1" s="67"/>
      <c r="E1" s="67"/>
    </row>
    <row r="2" customFormat="false" ht="27.75" hidden="false" customHeight="true" outlineLevel="0" collapsed="false">
      <c r="A2" s="52" t="s">
        <v>279</v>
      </c>
      <c r="B2" s="52"/>
      <c r="C2" s="52"/>
      <c r="D2" s="52"/>
      <c r="E2" s="52"/>
    </row>
    <row r="3" customFormat="false" ht="15" hidden="false" customHeight="true" outlineLevel="0" collapsed="false"/>
    <row r="4" customFormat="false" ht="21.75" hidden="false" customHeight="true" outlineLevel="0" collapsed="false">
      <c r="A4" s="76" t="s">
        <v>26</v>
      </c>
      <c r="B4" s="77" t="s">
        <v>280</v>
      </c>
      <c r="C4" s="77" t="s">
        <v>281</v>
      </c>
      <c r="D4" s="78"/>
      <c r="E4" s="78"/>
    </row>
    <row r="5" customFormat="false" ht="30" hidden="false" customHeight="true" outlineLevel="0" collapsed="false">
      <c r="A5" s="79" t="s">
        <v>282</v>
      </c>
      <c r="B5" s="80" t="s">
        <v>283</v>
      </c>
      <c r="C5" s="80"/>
      <c r="D5" s="80"/>
      <c r="E5" s="80"/>
    </row>
    <row r="6" customFormat="false" ht="18" hidden="false" customHeight="true" outlineLevel="0" collapsed="false">
      <c r="A6" s="9" t="s">
        <v>284</v>
      </c>
      <c r="B6" s="9" t="s">
        <v>285</v>
      </c>
      <c r="C6" s="9" t="s">
        <v>286</v>
      </c>
      <c r="D6" s="9" t="s">
        <v>287</v>
      </c>
      <c r="E6" s="9" t="s">
        <v>288</v>
      </c>
    </row>
    <row r="7" customFormat="false" ht="19.5" hidden="false" customHeight="true" outlineLevel="0" collapsed="false">
      <c r="A7" s="57" t="s">
        <v>289</v>
      </c>
      <c r="B7" s="81" t="s">
        <v>50</v>
      </c>
      <c r="C7" s="81" t="s">
        <v>290</v>
      </c>
      <c r="D7" s="66" t="s">
        <v>159</v>
      </c>
      <c r="E7" s="82"/>
    </row>
    <row r="8" customFormat="false" ht="36" hidden="false" customHeight="true" outlineLevel="0" collapsed="false">
      <c r="A8" s="83" t="s">
        <v>291</v>
      </c>
      <c r="B8" s="84" t="s">
        <v>292</v>
      </c>
      <c r="C8" s="85" t="s">
        <v>293</v>
      </c>
      <c r="D8" s="86" t="s">
        <v>294</v>
      </c>
      <c r="E8" s="82" t="s">
        <v>295</v>
      </c>
    </row>
    <row r="9" customFormat="false" ht="19.5" hidden="false" customHeight="true" outlineLevel="0" collapsed="false">
      <c r="A9" s="57" t="s">
        <v>296</v>
      </c>
      <c r="B9" s="81" t="s">
        <v>297</v>
      </c>
      <c r="C9" s="81" t="s">
        <v>298</v>
      </c>
      <c r="D9" s="66" t="s">
        <v>159</v>
      </c>
      <c r="E9" s="82"/>
    </row>
    <row r="10" customFormat="false" ht="19.5" hidden="false" customHeight="true" outlineLevel="0" collapsed="false">
      <c r="A10" s="87" t="s">
        <v>299</v>
      </c>
      <c r="B10" s="88" t="s">
        <v>300</v>
      </c>
      <c r="C10" s="89" t="s">
        <v>301</v>
      </c>
      <c r="D10" s="90" t="s">
        <v>302</v>
      </c>
      <c r="E10" s="82" t="s">
        <v>295</v>
      </c>
    </row>
    <row r="11" customFormat="false" ht="19.5" hidden="false" customHeight="true" outlineLevel="0" collapsed="false">
      <c r="A11" s="57" t="s">
        <v>303</v>
      </c>
      <c r="B11" s="81" t="s">
        <v>297</v>
      </c>
      <c r="C11" s="81" t="s">
        <v>159</v>
      </c>
      <c r="D11" s="66" t="s">
        <v>159</v>
      </c>
      <c r="E11" s="82"/>
    </row>
    <row r="12" customFormat="false" ht="19.5" hidden="false" customHeight="true" outlineLevel="0" collapsed="false">
      <c r="A12" s="91" t="s">
        <v>304</v>
      </c>
      <c r="B12" s="92" t="s">
        <v>305</v>
      </c>
      <c r="C12" s="93" t="s">
        <v>306</v>
      </c>
      <c r="D12" s="94" t="s">
        <v>307</v>
      </c>
      <c r="E12" s="82" t="s">
        <v>295</v>
      </c>
    </row>
    <row r="13" customFormat="false" ht="19.5" hidden="false" customHeight="true" outlineLevel="0" collapsed="false">
      <c r="A13" s="91" t="s">
        <v>308</v>
      </c>
      <c r="B13" s="92" t="s">
        <v>305</v>
      </c>
      <c r="C13" s="93" t="s">
        <v>306</v>
      </c>
      <c r="D13" s="94" t="s">
        <v>307</v>
      </c>
      <c r="E13" s="82"/>
    </row>
    <row r="14" customFormat="false" ht="7.5" hidden="false" customHeight="true" outlineLevel="0" collapsed="false"/>
    <row r="15" customFormat="false" ht="21.75" hidden="false" customHeight="true" outlineLevel="0" collapsed="false">
      <c r="A15" s="76" t="s">
        <v>32</v>
      </c>
      <c r="B15" s="77" t="s">
        <v>309</v>
      </c>
      <c r="C15" s="77" t="s">
        <v>310</v>
      </c>
      <c r="D15" s="78"/>
      <c r="E15" s="78"/>
    </row>
    <row r="16" customFormat="false" ht="30" hidden="false" customHeight="true" outlineLevel="0" collapsed="false">
      <c r="A16" s="79" t="s">
        <v>282</v>
      </c>
      <c r="B16" s="80" t="s">
        <v>311</v>
      </c>
      <c r="C16" s="80"/>
      <c r="D16" s="80"/>
      <c r="E16" s="80"/>
    </row>
    <row r="17" customFormat="false" ht="18" hidden="false" customHeight="true" outlineLevel="0" collapsed="false">
      <c r="A17" s="9" t="s">
        <v>284</v>
      </c>
      <c r="B17" s="9" t="s">
        <v>285</v>
      </c>
      <c r="C17" s="9" t="s">
        <v>286</v>
      </c>
      <c r="D17" s="9" t="s">
        <v>287</v>
      </c>
      <c r="E17" s="9" t="s">
        <v>288</v>
      </c>
    </row>
    <row r="18" customFormat="false" ht="19.5" hidden="false" customHeight="true" outlineLevel="0" collapsed="false">
      <c r="A18" s="57" t="s">
        <v>289</v>
      </c>
      <c r="B18" s="81" t="s">
        <v>50</v>
      </c>
      <c r="C18" s="81" t="s">
        <v>159</v>
      </c>
      <c r="D18" s="66" t="s">
        <v>159</v>
      </c>
      <c r="E18" s="82"/>
    </row>
    <row r="19" customFormat="false" ht="36" hidden="false" customHeight="true" outlineLevel="0" collapsed="false">
      <c r="A19" s="83" t="s">
        <v>291</v>
      </c>
      <c r="B19" s="84" t="s">
        <v>292</v>
      </c>
      <c r="C19" s="85" t="s">
        <v>312</v>
      </c>
      <c r="D19" s="86" t="s">
        <v>313</v>
      </c>
      <c r="E19" s="82" t="s">
        <v>295</v>
      </c>
    </row>
    <row r="20" customFormat="false" ht="19.5" hidden="false" customHeight="true" outlineLevel="0" collapsed="false">
      <c r="A20" s="57" t="s">
        <v>296</v>
      </c>
      <c r="B20" s="81" t="s">
        <v>297</v>
      </c>
      <c r="C20" s="81" t="s">
        <v>159</v>
      </c>
      <c r="D20" s="66" t="s">
        <v>159</v>
      </c>
      <c r="E20" s="82"/>
    </row>
    <row r="21" customFormat="false" ht="19.5" hidden="false" customHeight="true" outlineLevel="0" collapsed="false">
      <c r="A21" s="87" t="s">
        <v>299</v>
      </c>
      <c r="B21" s="88" t="s">
        <v>300</v>
      </c>
      <c r="C21" s="89" t="s">
        <v>314</v>
      </c>
      <c r="D21" s="90" t="s">
        <v>302</v>
      </c>
      <c r="E21" s="82" t="s">
        <v>315</v>
      </c>
    </row>
    <row r="22" customFormat="false" ht="19.5" hidden="false" customHeight="true" outlineLevel="0" collapsed="false">
      <c r="A22" s="57" t="s">
        <v>303</v>
      </c>
      <c r="B22" s="81" t="s">
        <v>297</v>
      </c>
      <c r="C22" s="81" t="s">
        <v>159</v>
      </c>
      <c r="D22" s="66" t="s">
        <v>159</v>
      </c>
      <c r="E22" s="82"/>
    </row>
    <row r="23" customFormat="false" ht="19.5" hidden="false" customHeight="true" outlineLevel="0" collapsed="false">
      <c r="A23" s="91" t="s">
        <v>304</v>
      </c>
      <c r="B23" s="92" t="s">
        <v>305</v>
      </c>
      <c r="C23" s="93" t="s">
        <v>316</v>
      </c>
      <c r="D23" s="94" t="s">
        <v>307</v>
      </c>
      <c r="E23" s="82" t="s">
        <v>295</v>
      </c>
    </row>
    <row r="24" customFormat="false" ht="19.5" hidden="false" customHeight="true" outlineLevel="0" collapsed="false">
      <c r="A24" s="91" t="s">
        <v>308</v>
      </c>
      <c r="B24" s="92" t="s">
        <v>305</v>
      </c>
      <c r="C24" s="93" t="s">
        <v>316</v>
      </c>
      <c r="D24" s="94" t="s">
        <v>307</v>
      </c>
      <c r="E24" s="82"/>
    </row>
    <row r="25" customFormat="false" ht="7.5" hidden="false" customHeight="true" outlineLevel="0" collapsed="false"/>
    <row r="26" customFormat="false" ht="21.75" hidden="false" customHeight="true" outlineLevel="0" collapsed="false">
      <c r="A26" s="76" t="s">
        <v>36</v>
      </c>
      <c r="B26" s="77" t="s">
        <v>317</v>
      </c>
      <c r="C26" s="77" t="s">
        <v>318</v>
      </c>
      <c r="D26" s="78"/>
      <c r="E26" s="78"/>
    </row>
    <row r="27" customFormat="false" ht="30" hidden="false" customHeight="true" outlineLevel="0" collapsed="false">
      <c r="A27" s="79" t="s">
        <v>282</v>
      </c>
      <c r="B27" s="80" t="s">
        <v>319</v>
      </c>
      <c r="C27" s="80"/>
      <c r="D27" s="80"/>
      <c r="E27" s="80"/>
    </row>
    <row r="28" customFormat="false" ht="18" hidden="false" customHeight="true" outlineLevel="0" collapsed="false">
      <c r="A28" s="9" t="s">
        <v>284</v>
      </c>
      <c r="B28" s="9" t="s">
        <v>285</v>
      </c>
      <c r="C28" s="9" t="s">
        <v>286</v>
      </c>
      <c r="D28" s="9" t="s">
        <v>287</v>
      </c>
      <c r="E28" s="9" t="s">
        <v>288</v>
      </c>
    </row>
    <row r="29" customFormat="false" ht="19.5" hidden="false" customHeight="true" outlineLevel="0" collapsed="false">
      <c r="A29" s="57" t="s">
        <v>289</v>
      </c>
      <c r="B29" s="81" t="s">
        <v>50</v>
      </c>
      <c r="C29" s="81" t="s">
        <v>159</v>
      </c>
      <c r="D29" s="66" t="s">
        <v>159</v>
      </c>
      <c r="E29" s="82"/>
    </row>
    <row r="30" customFormat="false" ht="19.5" hidden="false" customHeight="true" outlineLevel="0" collapsed="false">
      <c r="A30" s="83" t="s">
        <v>291</v>
      </c>
      <c r="B30" s="84" t="s">
        <v>292</v>
      </c>
      <c r="C30" s="85" t="s">
        <v>320</v>
      </c>
      <c r="D30" s="86" t="s">
        <v>321</v>
      </c>
      <c r="E30" s="82" t="s">
        <v>295</v>
      </c>
    </row>
    <row r="31" customFormat="false" ht="19.5" hidden="false" customHeight="true" outlineLevel="0" collapsed="false">
      <c r="A31" s="57" t="s">
        <v>296</v>
      </c>
      <c r="B31" s="81" t="s">
        <v>297</v>
      </c>
      <c r="C31" s="81" t="s">
        <v>159</v>
      </c>
      <c r="D31" s="66" t="s">
        <v>159</v>
      </c>
      <c r="E31" s="82"/>
    </row>
    <row r="32" customFormat="false" ht="19.5" hidden="false" customHeight="true" outlineLevel="0" collapsed="false">
      <c r="A32" s="87" t="s">
        <v>299</v>
      </c>
      <c r="B32" s="88" t="s">
        <v>300</v>
      </c>
      <c r="C32" s="89" t="s">
        <v>322</v>
      </c>
      <c r="D32" s="90" t="s">
        <v>302</v>
      </c>
      <c r="E32" s="82" t="s">
        <v>295</v>
      </c>
    </row>
    <row r="33" customFormat="false" ht="19.5" hidden="false" customHeight="true" outlineLevel="0" collapsed="false">
      <c r="A33" s="57" t="s">
        <v>303</v>
      </c>
      <c r="B33" s="81" t="s">
        <v>297</v>
      </c>
      <c r="C33" s="81" t="s">
        <v>159</v>
      </c>
      <c r="D33" s="66" t="s">
        <v>159</v>
      </c>
      <c r="E33" s="82"/>
    </row>
    <row r="34" customFormat="false" ht="19.5" hidden="false" customHeight="true" outlineLevel="0" collapsed="false">
      <c r="A34" s="91" t="s">
        <v>304</v>
      </c>
      <c r="B34" s="92" t="s">
        <v>305</v>
      </c>
      <c r="C34" s="93" t="s">
        <v>316</v>
      </c>
      <c r="D34" s="94" t="s">
        <v>307</v>
      </c>
      <c r="E34" s="82" t="s">
        <v>295</v>
      </c>
    </row>
    <row r="35" customFormat="false" ht="19.5" hidden="false" customHeight="true" outlineLevel="0" collapsed="false">
      <c r="A35" s="91" t="s">
        <v>308</v>
      </c>
      <c r="B35" s="92" t="s">
        <v>305</v>
      </c>
      <c r="C35" s="93" t="s">
        <v>316</v>
      </c>
      <c r="D35" s="94" t="s">
        <v>307</v>
      </c>
      <c r="E35" s="82"/>
    </row>
    <row r="36" customFormat="false" ht="7.5" hidden="false" customHeight="true" outlineLevel="0" collapsed="false"/>
    <row r="37" customFormat="false" ht="21.75" hidden="false" customHeight="true" outlineLevel="0" collapsed="false">
      <c r="A37" s="76" t="s">
        <v>40</v>
      </c>
      <c r="B37" s="77" t="s">
        <v>323</v>
      </c>
      <c r="C37" s="77" t="s">
        <v>324</v>
      </c>
      <c r="D37" s="78"/>
      <c r="E37" s="78"/>
    </row>
    <row r="38" customFormat="false" ht="30" hidden="false" customHeight="true" outlineLevel="0" collapsed="false">
      <c r="A38" s="79" t="s">
        <v>282</v>
      </c>
      <c r="B38" s="80" t="s">
        <v>325</v>
      </c>
      <c r="C38" s="80"/>
      <c r="D38" s="80"/>
      <c r="E38" s="80"/>
    </row>
    <row r="39" customFormat="false" ht="18" hidden="false" customHeight="true" outlineLevel="0" collapsed="false">
      <c r="A39" s="9" t="s">
        <v>284</v>
      </c>
      <c r="B39" s="9" t="s">
        <v>285</v>
      </c>
      <c r="C39" s="9" t="s">
        <v>286</v>
      </c>
      <c r="D39" s="9" t="s">
        <v>287</v>
      </c>
      <c r="E39" s="9" t="s">
        <v>288</v>
      </c>
    </row>
    <row r="40" customFormat="false" ht="19.5" hidden="false" customHeight="true" outlineLevel="0" collapsed="false">
      <c r="A40" s="57" t="s">
        <v>289</v>
      </c>
      <c r="B40" s="81" t="s">
        <v>50</v>
      </c>
      <c r="C40" s="81" t="s">
        <v>159</v>
      </c>
      <c r="D40" s="66" t="s">
        <v>159</v>
      </c>
      <c r="E40" s="82"/>
    </row>
    <row r="41" customFormat="false" ht="19.5" hidden="false" customHeight="true" outlineLevel="0" collapsed="false">
      <c r="A41" s="83" t="s">
        <v>291</v>
      </c>
      <c r="B41" s="84" t="s">
        <v>326</v>
      </c>
      <c r="C41" s="85" t="s">
        <v>327</v>
      </c>
      <c r="D41" s="86" t="s">
        <v>328</v>
      </c>
      <c r="E41" s="82"/>
    </row>
    <row r="42" customFormat="false" ht="19.5" hidden="false" customHeight="true" outlineLevel="0" collapsed="false">
      <c r="A42" s="57" t="s">
        <v>296</v>
      </c>
      <c r="B42" s="81" t="s">
        <v>297</v>
      </c>
      <c r="C42" s="81" t="s">
        <v>159</v>
      </c>
      <c r="D42" s="66" t="s">
        <v>159</v>
      </c>
      <c r="E42" s="82"/>
    </row>
    <row r="43" customFormat="false" ht="19.5" hidden="false" customHeight="true" outlineLevel="0" collapsed="false">
      <c r="A43" s="87" t="s">
        <v>299</v>
      </c>
      <c r="B43" s="88" t="s">
        <v>300</v>
      </c>
      <c r="C43" s="89" t="s">
        <v>329</v>
      </c>
      <c r="D43" s="90" t="s">
        <v>302</v>
      </c>
      <c r="E43" s="82"/>
    </row>
    <row r="44" customFormat="false" ht="19.5" hidden="false" customHeight="true" outlineLevel="0" collapsed="false">
      <c r="A44" s="57" t="s">
        <v>303</v>
      </c>
      <c r="B44" s="81" t="s">
        <v>297</v>
      </c>
      <c r="C44" s="81" t="s">
        <v>159</v>
      </c>
      <c r="D44" s="66" t="s">
        <v>159</v>
      </c>
      <c r="E44" s="82"/>
    </row>
    <row r="45" customFormat="false" ht="19.5" hidden="false" customHeight="true" outlineLevel="0" collapsed="false">
      <c r="A45" s="91" t="s">
        <v>304</v>
      </c>
      <c r="B45" s="92" t="s">
        <v>292</v>
      </c>
      <c r="C45" s="93" t="s">
        <v>330</v>
      </c>
      <c r="D45" s="94" t="s">
        <v>321</v>
      </c>
      <c r="E45" s="82"/>
    </row>
    <row r="46" customFormat="false" ht="19.5" hidden="false" customHeight="true" outlineLevel="0" collapsed="false">
      <c r="A46" s="91" t="s">
        <v>308</v>
      </c>
      <c r="B46" s="92" t="s">
        <v>50</v>
      </c>
      <c r="C46" s="93" t="s">
        <v>159</v>
      </c>
      <c r="D46" s="94" t="s">
        <v>159</v>
      </c>
      <c r="E46" s="82"/>
    </row>
    <row r="47" customFormat="false" ht="7.5" hidden="false" customHeight="true" outlineLevel="0" collapsed="false"/>
    <row r="48" customFormat="false" ht="21.75" hidden="false" customHeight="true" outlineLevel="0" collapsed="false">
      <c r="A48" s="76" t="s">
        <v>46</v>
      </c>
      <c r="B48" s="77" t="s">
        <v>331</v>
      </c>
      <c r="C48" s="77" t="s">
        <v>332</v>
      </c>
      <c r="D48" s="78"/>
      <c r="E48" s="78"/>
    </row>
    <row r="49" customFormat="false" ht="30" hidden="false" customHeight="true" outlineLevel="0" collapsed="false">
      <c r="A49" s="79" t="s">
        <v>282</v>
      </c>
      <c r="B49" s="80" t="s">
        <v>333</v>
      </c>
      <c r="C49" s="80"/>
      <c r="D49" s="80"/>
      <c r="E49" s="80"/>
    </row>
    <row r="50" customFormat="false" ht="18" hidden="false" customHeight="true" outlineLevel="0" collapsed="false">
      <c r="A50" s="9" t="s">
        <v>284</v>
      </c>
      <c r="B50" s="9" t="s">
        <v>285</v>
      </c>
      <c r="C50" s="9" t="s">
        <v>286</v>
      </c>
      <c r="D50" s="9" t="s">
        <v>287</v>
      </c>
      <c r="E50" s="9" t="s">
        <v>288</v>
      </c>
    </row>
    <row r="51" customFormat="false" ht="19.5" hidden="false" customHeight="true" outlineLevel="0" collapsed="false">
      <c r="A51" s="57" t="s">
        <v>289</v>
      </c>
      <c r="B51" s="81" t="s">
        <v>50</v>
      </c>
      <c r="C51" s="81" t="s">
        <v>334</v>
      </c>
      <c r="D51" s="66" t="s">
        <v>159</v>
      </c>
      <c r="E51" s="82"/>
    </row>
    <row r="52" customFormat="false" ht="19.5" hidden="false" customHeight="true" outlineLevel="0" collapsed="false">
      <c r="A52" s="95" t="s">
        <v>291</v>
      </c>
      <c r="B52" s="96" t="s">
        <v>335</v>
      </c>
      <c r="C52" s="96" t="str">
        <f aca="false">"3 sets @ ~"&amp;TEXT('Working Loads'!D27,"0.#")&amp;" kg (75% benchmark), 5s, no fatigue chasing"</f>
        <v>3 sets @ ~19 kg (75% benchmark), 5s, no fatigue chasing</v>
      </c>
      <c r="D52" s="97" t="s">
        <v>336</v>
      </c>
      <c r="E52" s="82"/>
    </row>
    <row r="53" customFormat="false" ht="19.5" hidden="false" customHeight="true" outlineLevel="0" collapsed="false">
      <c r="A53" s="57" t="s">
        <v>296</v>
      </c>
      <c r="B53" s="81" t="s">
        <v>50</v>
      </c>
      <c r="C53" s="81" t="s">
        <v>159</v>
      </c>
      <c r="D53" s="66" t="s">
        <v>159</v>
      </c>
      <c r="E53" s="82"/>
    </row>
    <row r="54" customFormat="false" ht="36" hidden="false" customHeight="true" outlineLevel="0" collapsed="false">
      <c r="A54" s="98" t="s">
        <v>299</v>
      </c>
      <c r="B54" s="99" t="s">
        <v>297</v>
      </c>
      <c r="C54" s="100" t="s">
        <v>159</v>
      </c>
      <c r="D54" s="101" t="s">
        <v>159</v>
      </c>
      <c r="E54" s="82"/>
    </row>
    <row r="55" customFormat="false" ht="19.5" hidden="false" customHeight="true" outlineLevel="0" collapsed="false">
      <c r="A55" s="57" t="s">
        <v>303</v>
      </c>
      <c r="B55" s="81" t="s">
        <v>50</v>
      </c>
      <c r="C55" s="81" t="s">
        <v>159</v>
      </c>
      <c r="D55" s="66" t="s">
        <v>159</v>
      </c>
      <c r="E55" s="82"/>
    </row>
    <row r="56" customFormat="false" ht="19.5" hidden="false" customHeight="true" outlineLevel="0" collapsed="false">
      <c r="A56" s="91" t="s">
        <v>304</v>
      </c>
      <c r="B56" s="92" t="s">
        <v>337</v>
      </c>
      <c r="C56" s="93" t="s">
        <v>338</v>
      </c>
      <c r="D56" s="94" t="s">
        <v>161</v>
      </c>
      <c r="E56" s="82"/>
    </row>
    <row r="57" customFormat="false" ht="19.5" hidden="false" customHeight="true" outlineLevel="0" collapsed="false">
      <c r="A57" s="57" t="s">
        <v>308</v>
      </c>
      <c r="B57" s="81" t="s">
        <v>50</v>
      </c>
      <c r="C57" s="81" t="s">
        <v>159</v>
      </c>
      <c r="D57" s="66" t="s">
        <v>159</v>
      </c>
      <c r="E57" s="82"/>
    </row>
    <row r="58" customFormat="false" ht="7.5" hidden="false" customHeight="true" outlineLevel="0" collapsed="false"/>
    <row r="59" customFormat="false" ht="21.75" hidden="false" customHeight="true" outlineLevel="0" collapsed="false">
      <c r="A59" s="76" t="s">
        <v>52</v>
      </c>
      <c r="B59" s="77" t="s">
        <v>339</v>
      </c>
      <c r="C59" s="77" t="s">
        <v>340</v>
      </c>
      <c r="D59" s="78"/>
      <c r="E59" s="78"/>
    </row>
    <row r="60" customFormat="false" ht="30" hidden="false" customHeight="true" outlineLevel="0" collapsed="false">
      <c r="A60" s="79" t="s">
        <v>282</v>
      </c>
      <c r="B60" s="80" t="s">
        <v>341</v>
      </c>
      <c r="C60" s="80"/>
      <c r="D60" s="80"/>
      <c r="E60" s="80"/>
    </row>
    <row r="61" customFormat="false" ht="18" hidden="false" customHeight="true" outlineLevel="0" collapsed="false">
      <c r="A61" s="9" t="s">
        <v>284</v>
      </c>
      <c r="B61" s="9" t="s">
        <v>285</v>
      </c>
      <c r="C61" s="9" t="s">
        <v>286</v>
      </c>
      <c r="D61" s="9" t="s">
        <v>287</v>
      </c>
      <c r="E61" s="9" t="s">
        <v>288</v>
      </c>
    </row>
    <row r="62" customFormat="false" ht="19.5" hidden="false" customHeight="true" outlineLevel="0" collapsed="false">
      <c r="A62" s="57" t="s">
        <v>289</v>
      </c>
      <c r="B62" s="81" t="s">
        <v>50</v>
      </c>
      <c r="C62" s="81" t="s">
        <v>159</v>
      </c>
      <c r="D62" s="66" t="s">
        <v>159</v>
      </c>
      <c r="E62" s="82"/>
    </row>
    <row r="63" customFormat="false" ht="36" hidden="false" customHeight="true" outlineLevel="0" collapsed="false">
      <c r="A63" s="83" t="s">
        <v>291</v>
      </c>
      <c r="B63" s="84" t="s">
        <v>326</v>
      </c>
      <c r="C63" s="85" t="s">
        <v>327</v>
      </c>
      <c r="D63" s="86" t="s">
        <v>328</v>
      </c>
      <c r="E63" s="82"/>
    </row>
    <row r="64" customFormat="false" ht="19.5" hidden="false" customHeight="true" outlineLevel="0" collapsed="false">
      <c r="A64" s="57" t="s">
        <v>296</v>
      </c>
      <c r="B64" s="81" t="s">
        <v>297</v>
      </c>
      <c r="C64" s="81" t="s">
        <v>159</v>
      </c>
      <c r="D64" s="66" t="s">
        <v>159</v>
      </c>
      <c r="E64" s="82"/>
    </row>
    <row r="65" customFormat="false" ht="19.5" hidden="false" customHeight="true" outlineLevel="0" collapsed="false">
      <c r="A65" s="87" t="s">
        <v>299</v>
      </c>
      <c r="B65" s="88" t="s">
        <v>300</v>
      </c>
      <c r="C65" s="89" t="s">
        <v>342</v>
      </c>
      <c r="D65" s="90" t="s">
        <v>343</v>
      </c>
      <c r="E65" s="82"/>
    </row>
    <row r="66" customFormat="false" ht="19.5" hidden="false" customHeight="true" outlineLevel="0" collapsed="false">
      <c r="A66" s="57" t="s">
        <v>303</v>
      </c>
      <c r="B66" s="81" t="s">
        <v>297</v>
      </c>
      <c r="C66" s="81" t="s">
        <v>159</v>
      </c>
      <c r="D66" s="66" t="s">
        <v>159</v>
      </c>
      <c r="E66" s="82"/>
    </row>
    <row r="67" customFormat="false" ht="19.5" hidden="false" customHeight="true" outlineLevel="0" collapsed="false">
      <c r="A67" s="91" t="s">
        <v>304</v>
      </c>
      <c r="B67" s="92" t="s">
        <v>292</v>
      </c>
      <c r="C67" s="93" t="s">
        <v>330</v>
      </c>
      <c r="D67" s="94" t="s">
        <v>344</v>
      </c>
      <c r="E67" s="82"/>
    </row>
    <row r="68" customFormat="false" ht="19.5" hidden="false" customHeight="true" outlineLevel="0" collapsed="false">
      <c r="A68" s="91" t="s">
        <v>308</v>
      </c>
      <c r="B68" s="92" t="s">
        <v>50</v>
      </c>
      <c r="C68" s="93" t="s">
        <v>159</v>
      </c>
      <c r="D68" s="94" t="s">
        <v>159</v>
      </c>
      <c r="E68" s="82"/>
    </row>
    <row r="69" customFormat="false" ht="7.5" hidden="false" customHeight="true" outlineLevel="0" collapsed="false"/>
    <row r="70" customFormat="false" ht="21.75" hidden="false" customHeight="true" outlineLevel="0" collapsed="false">
      <c r="A70" s="76" t="s">
        <v>58</v>
      </c>
      <c r="B70" s="77" t="s">
        <v>345</v>
      </c>
      <c r="C70" s="77" t="s">
        <v>346</v>
      </c>
      <c r="D70" s="78"/>
      <c r="E70" s="78"/>
    </row>
    <row r="71" customFormat="false" ht="30" hidden="false" customHeight="true" outlineLevel="0" collapsed="false">
      <c r="A71" s="79" t="s">
        <v>282</v>
      </c>
      <c r="B71" s="80" t="s">
        <v>347</v>
      </c>
      <c r="C71" s="80"/>
      <c r="D71" s="80"/>
      <c r="E71" s="80"/>
    </row>
    <row r="72" customFormat="false" ht="18" hidden="false" customHeight="true" outlineLevel="0" collapsed="false">
      <c r="A72" s="9" t="s">
        <v>284</v>
      </c>
      <c r="B72" s="9" t="s">
        <v>285</v>
      </c>
      <c r="C72" s="9" t="s">
        <v>286</v>
      </c>
      <c r="D72" s="9" t="s">
        <v>287</v>
      </c>
      <c r="E72" s="9" t="s">
        <v>288</v>
      </c>
    </row>
    <row r="73" customFormat="false" ht="19.5" hidden="false" customHeight="true" outlineLevel="0" collapsed="false">
      <c r="A73" s="57" t="s">
        <v>289</v>
      </c>
      <c r="B73" s="81" t="s">
        <v>50</v>
      </c>
      <c r="C73" s="81" t="s">
        <v>159</v>
      </c>
      <c r="D73" s="66" t="s">
        <v>159</v>
      </c>
      <c r="E73" s="82"/>
    </row>
    <row r="74" customFormat="false" ht="36" hidden="false" customHeight="true" outlineLevel="0" collapsed="false">
      <c r="A74" s="83" t="s">
        <v>291</v>
      </c>
      <c r="B74" s="84" t="s">
        <v>326</v>
      </c>
      <c r="C74" s="85" t="s">
        <v>327</v>
      </c>
      <c r="D74" s="86" t="s">
        <v>328</v>
      </c>
      <c r="E74" s="82"/>
    </row>
    <row r="75" customFormat="false" ht="19.5" hidden="false" customHeight="true" outlineLevel="0" collapsed="false">
      <c r="A75" s="57" t="s">
        <v>296</v>
      </c>
      <c r="B75" s="81" t="s">
        <v>297</v>
      </c>
      <c r="C75" s="81" t="s">
        <v>159</v>
      </c>
      <c r="D75" s="66" t="s">
        <v>159</v>
      </c>
      <c r="E75" s="82"/>
    </row>
    <row r="76" customFormat="false" ht="19.5" hidden="false" customHeight="true" outlineLevel="0" collapsed="false">
      <c r="A76" s="87" t="s">
        <v>299</v>
      </c>
      <c r="B76" s="88" t="s">
        <v>300</v>
      </c>
      <c r="C76" s="89" t="s">
        <v>348</v>
      </c>
      <c r="D76" s="90" t="s">
        <v>343</v>
      </c>
      <c r="E76" s="82"/>
    </row>
    <row r="77" customFormat="false" ht="19.5" hidden="false" customHeight="true" outlineLevel="0" collapsed="false">
      <c r="A77" s="57" t="s">
        <v>303</v>
      </c>
      <c r="B77" s="81" t="s">
        <v>297</v>
      </c>
      <c r="C77" s="81" t="s">
        <v>159</v>
      </c>
      <c r="D77" s="66" t="s">
        <v>159</v>
      </c>
      <c r="E77" s="82"/>
    </row>
    <row r="78" customFormat="false" ht="19.5" hidden="false" customHeight="true" outlineLevel="0" collapsed="false">
      <c r="A78" s="91" t="s">
        <v>304</v>
      </c>
      <c r="B78" s="92" t="s">
        <v>292</v>
      </c>
      <c r="C78" s="93" t="s">
        <v>330</v>
      </c>
      <c r="D78" s="94" t="s">
        <v>344</v>
      </c>
      <c r="E78" s="82"/>
    </row>
    <row r="79" customFormat="false" ht="19.5" hidden="false" customHeight="true" outlineLevel="0" collapsed="false">
      <c r="A79" s="91" t="s">
        <v>308</v>
      </c>
      <c r="B79" s="92" t="s">
        <v>50</v>
      </c>
      <c r="C79" s="93" t="s">
        <v>159</v>
      </c>
      <c r="D79" s="94" t="s">
        <v>159</v>
      </c>
      <c r="E79" s="82"/>
    </row>
    <row r="80" customFormat="false" ht="7.5" hidden="false" customHeight="true" outlineLevel="0" collapsed="false"/>
    <row r="81" customFormat="false" ht="21.75" hidden="false" customHeight="true" outlineLevel="0" collapsed="false">
      <c r="A81" s="76" t="s">
        <v>62</v>
      </c>
      <c r="B81" s="77" t="s">
        <v>349</v>
      </c>
      <c r="C81" s="77" t="s">
        <v>350</v>
      </c>
      <c r="D81" s="78"/>
      <c r="E81" s="78"/>
    </row>
    <row r="82" customFormat="false" ht="30" hidden="false" customHeight="true" outlineLevel="0" collapsed="false">
      <c r="A82" s="79" t="s">
        <v>282</v>
      </c>
      <c r="B82" s="80" t="s">
        <v>351</v>
      </c>
      <c r="C82" s="80"/>
      <c r="D82" s="80"/>
      <c r="E82" s="80"/>
    </row>
    <row r="83" customFormat="false" ht="18" hidden="false" customHeight="true" outlineLevel="0" collapsed="false">
      <c r="A83" s="9" t="s">
        <v>284</v>
      </c>
      <c r="B83" s="9" t="s">
        <v>285</v>
      </c>
      <c r="C83" s="9" t="s">
        <v>286</v>
      </c>
      <c r="D83" s="9" t="s">
        <v>287</v>
      </c>
      <c r="E83" s="9" t="s">
        <v>288</v>
      </c>
    </row>
    <row r="84" customFormat="false" ht="19.5" hidden="false" customHeight="true" outlineLevel="0" collapsed="false">
      <c r="A84" s="57" t="s">
        <v>289</v>
      </c>
      <c r="B84" s="81" t="s">
        <v>50</v>
      </c>
      <c r="C84" s="81" t="s">
        <v>159</v>
      </c>
      <c r="D84" s="66" t="s">
        <v>159</v>
      </c>
      <c r="E84" s="82"/>
    </row>
    <row r="85" customFormat="false" ht="19.5" hidden="false" customHeight="true" outlineLevel="0" collapsed="false">
      <c r="A85" s="83" t="s">
        <v>291</v>
      </c>
      <c r="B85" s="84" t="s">
        <v>326</v>
      </c>
      <c r="C85" s="85" t="s">
        <v>327</v>
      </c>
      <c r="D85" s="86" t="s">
        <v>328</v>
      </c>
      <c r="E85" s="82"/>
    </row>
    <row r="86" customFormat="false" ht="19.5" hidden="false" customHeight="true" outlineLevel="0" collapsed="false">
      <c r="A86" s="57" t="s">
        <v>296</v>
      </c>
      <c r="B86" s="81" t="s">
        <v>297</v>
      </c>
      <c r="C86" s="81" t="s">
        <v>159</v>
      </c>
      <c r="D86" s="66" t="s">
        <v>159</v>
      </c>
      <c r="E86" s="82"/>
    </row>
    <row r="87" customFormat="false" ht="19.5" hidden="false" customHeight="true" outlineLevel="0" collapsed="false">
      <c r="A87" s="87" t="s">
        <v>299</v>
      </c>
      <c r="B87" s="88" t="s">
        <v>300</v>
      </c>
      <c r="C87" s="89" t="s">
        <v>348</v>
      </c>
      <c r="D87" s="90" t="s">
        <v>343</v>
      </c>
      <c r="E87" s="82"/>
    </row>
    <row r="88" customFormat="false" ht="19.5" hidden="false" customHeight="true" outlineLevel="0" collapsed="false">
      <c r="A88" s="57" t="s">
        <v>303</v>
      </c>
      <c r="B88" s="81" t="s">
        <v>297</v>
      </c>
      <c r="C88" s="81" t="s">
        <v>159</v>
      </c>
      <c r="D88" s="66" t="s">
        <v>159</v>
      </c>
      <c r="E88" s="82"/>
    </row>
    <row r="89" customFormat="false" ht="19.5" hidden="false" customHeight="true" outlineLevel="0" collapsed="false">
      <c r="A89" s="91" t="s">
        <v>304</v>
      </c>
      <c r="B89" s="92" t="s">
        <v>292</v>
      </c>
      <c r="C89" s="93" t="s">
        <v>330</v>
      </c>
      <c r="D89" s="94" t="s">
        <v>344</v>
      </c>
      <c r="E89" s="82"/>
    </row>
    <row r="90" customFormat="false" ht="19.5" hidden="false" customHeight="true" outlineLevel="0" collapsed="false">
      <c r="A90" s="91" t="s">
        <v>308</v>
      </c>
      <c r="B90" s="92" t="s">
        <v>50</v>
      </c>
      <c r="C90" s="93" t="s">
        <v>159</v>
      </c>
      <c r="D90" s="94" t="s">
        <v>159</v>
      </c>
      <c r="E90" s="82"/>
    </row>
    <row r="91" customFormat="false" ht="7.5" hidden="false" customHeight="true" outlineLevel="0" collapsed="false"/>
    <row r="92" customFormat="false" ht="21.75" hidden="false" customHeight="true" outlineLevel="0" collapsed="false">
      <c r="A92" s="76" t="s">
        <v>65</v>
      </c>
      <c r="B92" s="77" t="s">
        <v>352</v>
      </c>
      <c r="C92" s="77" t="s">
        <v>353</v>
      </c>
      <c r="D92" s="78"/>
      <c r="E92" s="78"/>
    </row>
    <row r="93" customFormat="false" ht="30" hidden="false" customHeight="true" outlineLevel="0" collapsed="false">
      <c r="A93" s="79" t="s">
        <v>282</v>
      </c>
      <c r="B93" s="80" t="s">
        <v>354</v>
      </c>
      <c r="C93" s="80"/>
      <c r="D93" s="80"/>
      <c r="E93" s="80"/>
    </row>
    <row r="94" customFormat="false" ht="18" hidden="false" customHeight="true" outlineLevel="0" collapsed="false">
      <c r="A94" s="9" t="s">
        <v>284</v>
      </c>
      <c r="B94" s="9" t="s">
        <v>285</v>
      </c>
      <c r="C94" s="9" t="s">
        <v>286</v>
      </c>
      <c r="D94" s="9" t="s">
        <v>287</v>
      </c>
      <c r="E94" s="9" t="s">
        <v>288</v>
      </c>
    </row>
    <row r="95" customFormat="false" ht="19.5" hidden="false" customHeight="true" outlineLevel="0" collapsed="false">
      <c r="A95" s="57" t="s">
        <v>289</v>
      </c>
      <c r="B95" s="81" t="s">
        <v>50</v>
      </c>
      <c r="C95" s="81" t="s">
        <v>159</v>
      </c>
      <c r="D95" s="66" t="s">
        <v>159</v>
      </c>
      <c r="E95" s="82"/>
    </row>
    <row r="96" customFormat="false" ht="19.5" hidden="false" customHeight="true" outlineLevel="0" collapsed="false">
      <c r="A96" s="83" t="s">
        <v>291</v>
      </c>
      <c r="B96" s="84" t="s">
        <v>326</v>
      </c>
      <c r="C96" s="85" t="s">
        <v>327</v>
      </c>
      <c r="D96" s="86" t="s">
        <v>328</v>
      </c>
      <c r="E96" s="82"/>
    </row>
    <row r="97" customFormat="false" ht="19.5" hidden="false" customHeight="true" outlineLevel="0" collapsed="false">
      <c r="A97" s="57" t="s">
        <v>296</v>
      </c>
      <c r="B97" s="81" t="s">
        <v>297</v>
      </c>
      <c r="C97" s="81" t="s">
        <v>159</v>
      </c>
      <c r="D97" s="66" t="s">
        <v>159</v>
      </c>
      <c r="E97" s="82"/>
    </row>
    <row r="98" customFormat="false" ht="19.5" hidden="false" customHeight="true" outlineLevel="0" collapsed="false">
      <c r="A98" s="87" t="s">
        <v>299</v>
      </c>
      <c r="B98" s="88" t="s">
        <v>300</v>
      </c>
      <c r="C98" s="89" t="s">
        <v>355</v>
      </c>
      <c r="D98" s="90" t="s">
        <v>343</v>
      </c>
      <c r="E98" s="82"/>
    </row>
    <row r="99" customFormat="false" ht="19.5" hidden="false" customHeight="true" outlineLevel="0" collapsed="false">
      <c r="A99" s="57" t="s">
        <v>303</v>
      </c>
      <c r="B99" s="81" t="s">
        <v>297</v>
      </c>
      <c r="C99" s="81" t="s">
        <v>159</v>
      </c>
      <c r="D99" s="66" t="s">
        <v>159</v>
      </c>
      <c r="E99" s="82"/>
    </row>
    <row r="100" customFormat="false" ht="19.5" hidden="false" customHeight="true" outlineLevel="0" collapsed="false">
      <c r="A100" s="91" t="s">
        <v>304</v>
      </c>
      <c r="B100" s="92" t="s">
        <v>292</v>
      </c>
      <c r="C100" s="93" t="s">
        <v>330</v>
      </c>
      <c r="D100" s="94" t="s">
        <v>344</v>
      </c>
      <c r="E100" s="82"/>
    </row>
    <row r="101" customFormat="false" ht="19.5" hidden="false" customHeight="true" outlineLevel="0" collapsed="false">
      <c r="A101" s="91" t="s">
        <v>308</v>
      </c>
      <c r="B101" s="92" t="s">
        <v>50</v>
      </c>
      <c r="C101" s="93" t="s">
        <v>159</v>
      </c>
      <c r="D101" s="94" t="s">
        <v>159</v>
      </c>
      <c r="E101" s="82"/>
    </row>
    <row r="102" customFormat="false" ht="7.5" hidden="false" customHeight="true" outlineLevel="0" collapsed="false"/>
    <row r="103" customFormat="false" ht="21.75" hidden="false" customHeight="true" outlineLevel="0" collapsed="false">
      <c r="A103" s="76" t="s">
        <v>69</v>
      </c>
      <c r="B103" s="77" t="s">
        <v>356</v>
      </c>
      <c r="C103" s="77" t="s">
        <v>332</v>
      </c>
      <c r="D103" s="78"/>
      <c r="E103" s="78"/>
    </row>
    <row r="104" customFormat="false" ht="30" hidden="false" customHeight="true" outlineLevel="0" collapsed="false">
      <c r="A104" s="79" t="s">
        <v>282</v>
      </c>
      <c r="B104" s="80" t="s">
        <v>357</v>
      </c>
      <c r="C104" s="80"/>
      <c r="D104" s="80"/>
      <c r="E104" s="80"/>
    </row>
    <row r="105" customFormat="false" ht="18" hidden="false" customHeight="true" outlineLevel="0" collapsed="false">
      <c r="A105" s="9" t="s">
        <v>284</v>
      </c>
      <c r="B105" s="9" t="s">
        <v>285</v>
      </c>
      <c r="C105" s="9" t="s">
        <v>286</v>
      </c>
      <c r="D105" s="9" t="s">
        <v>287</v>
      </c>
      <c r="E105" s="9" t="s">
        <v>288</v>
      </c>
    </row>
    <row r="106" customFormat="false" ht="19.5" hidden="false" customHeight="true" outlineLevel="0" collapsed="false">
      <c r="A106" s="57" t="s">
        <v>289</v>
      </c>
      <c r="B106" s="81" t="s">
        <v>50</v>
      </c>
      <c r="C106" s="81" t="s">
        <v>159</v>
      </c>
      <c r="D106" s="66" t="s">
        <v>159</v>
      </c>
      <c r="E106" s="82"/>
    </row>
    <row r="107" customFormat="false" ht="19.5" hidden="false" customHeight="true" outlineLevel="0" collapsed="false">
      <c r="A107" s="95" t="s">
        <v>291</v>
      </c>
      <c r="B107" s="96" t="s">
        <v>335</v>
      </c>
      <c r="C107" s="96" t="str">
        <f aca="false">"3 sets @ ~"&amp;TEXT('Working Loads'!D32,"0.#")&amp;" kg (75% benchmark), 5s, no fatigue chasing"</f>
        <v>3 sets @ ~19 kg (75% benchmark), 5s, no fatigue chasing</v>
      </c>
      <c r="D107" s="97" t="s">
        <v>336</v>
      </c>
      <c r="E107" s="82"/>
    </row>
    <row r="108" customFormat="false" ht="19.5" hidden="false" customHeight="true" outlineLevel="0" collapsed="false">
      <c r="A108" s="57" t="s">
        <v>296</v>
      </c>
      <c r="B108" s="81" t="s">
        <v>50</v>
      </c>
      <c r="C108" s="81" t="s">
        <v>159</v>
      </c>
      <c r="D108" s="66" t="s">
        <v>159</v>
      </c>
      <c r="E108" s="82"/>
    </row>
    <row r="109" customFormat="false" ht="19.5" hidden="false" customHeight="true" outlineLevel="0" collapsed="false">
      <c r="A109" s="98" t="s">
        <v>299</v>
      </c>
      <c r="B109" s="99" t="s">
        <v>297</v>
      </c>
      <c r="C109" s="100" t="s">
        <v>159</v>
      </c>
      <c r="D109" s="101" t="s">
        <v>159</v>
      </c>
      <c r="E109" s="82"/>
    </row>
    <row r="110" customFormat="false" ht="19.5" hidden="false" customHeight="true" outlineLevel="0" collapsed="false">
      <c r="A110" s="57" t="s">
        <v>303</v>
      </c>
      <c r="B110" s="81" t="s">
        <v>50</v>
      </c>
      <c r="C110" s="81" t="s">
        <v>159</v>
      </c>
      <c r="D110" s="66" t="s">
        <v>159</v>
      </c>
      <c r="E110" s="82"/>
    </row>
    <row r="111" customFormat="false" ht="19.5" hidden="false" customHeight="true" outlineLevel="0" collapsed="false">
      <c r="A111" s="91" t="s">
        <v>304</v>
      </c>
      <c r="B111" s="92" t="s">
        <v>337</v>
      </c>
      <c r="C111" s="93" t="s">
        <v>358</v>
      </c>
      <c r="D111" s="94" t="s">
        <v>161</v>
      </c>
      <c r="E111" s="82"/>
    </row>
    <row r="112" customFormat="false" ht="19.5" hidden="false" customHeight="true" outlineLevel="0" collapsed="false">
      <c r="A112" s="57" t="s">
        <v>308</v>
      </c>
      <c r="B112" s="81" t="s">
        <v>50</v>
      </c>
      <c r="C112" s="81" t="s">
        <v>159</v>
      </c>
      <c r="D112" s="66" t="s">
        <v>159</v>
      </c>
      <c r="E112" s="82"/>
    </row>
    <row r="113" customFormat="false" ht="7.5" hidden="false" customHeight="true" outlineLevel="0" collapsed="false"/>
    <row r="114" customFormat="false" ht="21.75" hidden="false" customHeight="true" outlineLevel="0" collapsed="false">
      <c r="A114" s="76" t="s">
        <v>71</v>
      </c>
      <c r="B114" s="77" t="s">
        <v>359</v>
      </c>
      <c r="C114" s="77" t="s">
        <v>360</v>
      </c>
      <c r="D114" s="78"/>
      <c r="E114" s="78"/>
    </row>
    <row r="115" customFormat="false" ht="30" hidden="false" customHeight="true" outlineLevel="0" collapsed="false">
      <c r="A115" s="79" t="s">
        <v>282</v>
      </c>
      <c r="B115" s="80" t="s">
        <v>361</v>
      </c>
      <c r="C115" s="80"/>
      <c r="D115" s="80"/>
      <c r="E115" s="80"/>
    </row>
    <row r="116" customFormat="false" ht="18" hidden="false" customHeight="true" outlineLevel="0" collapsed="false">
      <c r="A116" s="9" t="s">
        <v>284</v>
      </c>
      <c r="B116" s="9" t="s">
        <v>285</v>
      </c>
      <c r="C116" s="9" t="s">
        <v>286</v>
      </c>
      <c r="D116" s="9" t="s">
        <v>287</v>
      </c>
      <c r="E116" s="9" t="s">
        <v>288</v>
      </c>
    </row>
    <row r="117" customFormat="false" ht="19.5" hidden="false" customHeight="true" outlineLevel="0" collapsed="false">
      <c r="A117" s="57" t="s">
        <v>289</v>
      </c>
      <c r="B117" s="81" t="s">
        <v>50</v>
      </c>
      <c r="C117" s="81" t="s">
        <v>159</v>
      </c>
      <c r="D117" s="66" t="s">
        <v>159</v>
      </c>
      <c r="E117" s="82"/>
    </row>
    <row r="118" customFormat="false" ht="36" hidden="false" customHeight="true" outlineLevel="0" collapsed="false">
      <c r="A118" s="83" t="s">
        <v>291</v>
      </c>
      <c r="B118" s="84" t="s">
        <v>326</v>
      </c>
      <c r="C118" s="85" t="s">
        <v>327</v>
      </c>
      <c r="D118" s="86" t="s">
        <v>328</v>
      </c>
      <c r="E118" s="82"/>
    </row>
    <row r="119" customFormat="false" ht="19.5" hidden="false" customHeight="true" outlineLevel="0" collapsed="false">
      <c r="A119" s="57" t="s">
        <v>296</v>
      </c>
      <c r="B119" s="81" t="s">
        <v>297</v>
      </c>
      <c r="C119" s="81" t="s">
        <v>159</v>
      </c>
      <c r="D119" s="66" t="s">
        <v>159</v>
      </c>
      <c r="E119" s="82"/>
    </row>
    <row r="120" customFormat="false" ht="19.5" hidden="false" customHeight="true" outlineLevel="0" collapsed="false">
      <c r="A120" s="87" t="s">
        <v>299</v>
      </c>
      <c r="B120" s="88" t="s">
        <v>300</v>
      </c>
      <c r="C120" s="89" t="s">
        <v>362</v>
      </c>
      <c r="D120" s="90" t="s">
        <v>343</v>
      </c>
      <c r="E120" s="82"/>
    </row>
    <row r="121" customFormat="false" ht="19.5" hidden="false" customHeight="true" outlineLevel="0" collapsed="false">
      <c r="A121" s="57" t="s">
        <v>303</v>
      </c>
      <c r="B121" s="81" t="s">
        <v>297</v>
      </c>
      <c r="C121" s="81" t="s">
        <v>159</v>
      </c>
      <c r="D121" s="66" t="s">
        <v>159</v>
      </c>
      <c r="E121" s="82"/>
    </row>
    <row r="122" customFormat="false" ht="19.5" hidden="false" customHeight="true" outlineLevel="0" collapsed="false">
      <c r="A122" s="91" t="s">
        <v>304</v>
      </c>
      <c r="B122" s="92" t="s">
        <v>292</v>
      </c>
      <c r="C122" s="93" t="str">
        <f aca="false">"3s max singles — 3–5 quality efforts, 4–5 min full rest between. RPE leads (target →). 3s WM anchor set at W10 test."</f>
        <v>3s max singles — 3–5 quality efforts, 4–5 min full rest between. RPE leads (target →). 3s WM anchor set at W10 test.</v>
      </c>
      <c r="D122" s="94" t="s">
        <v>344</v>
      </c>
      <c r="E122" s="82"/>
    </row>
    <row r="123" customFormat="false" ht="19.5" hidden="false" customHeight="true" outlineLevel="0" collapsed="false">
      <c r="A123" s="91" t="s">
        <v>308</v>
      </c>
      <c r="B123" s="92" t="s">
        <v>50</v>
      </c>
      <c r="C123" s="93" t="s">
        <v>159</v>
      </c>
      <c r="D123" s="94" t="s">
        <v>159</v>
      </c>
      <c r="E123" s="82"/>
    </row>
    <row r="124" customFormat="false" ht="7.5" hidden="false" customHeight="true" outlineLevel="0" collapsed="false"/>
    <row r="125" customFormat="false" ht="21.75" hidden="false" customHeight="true" outlineLevel="0" collapsed="false">
      <c r="A125" s="76" t="s">
        <v>76</v>
      </c>
      <c r="B125" s="77" t="s">
        <v>363</v>
      </c>
      <c r="C125" s="77" t="s">
        <v>364</v>
      </c>
      <c r="D125" s="78"/>
      <c r="E125" s="78"/>
    </row>
    <row r="126" customFormat="false" ht="30" hidden="false" customHeight="true" outlineLevel="0" collapsed="false">
      <c r="A126" s="79" t="s">
        <v>282</v>
      </c>
      <c r="B126" s="80" t="s">
        <v>365</v>
      </c>
      <c r="C126" s="80"/>
      <c r="D126" s="80"/>
      <c r="E126" s="80"/>
    </row>
    <row r="127" customFormat="false" ht="18" hidden="false" customHeight="true" outlineLevel="0" collapsed="false">
      <c r="A127" s="9" t="s">
        <v>284</v>
      </c>
      <c r="B127" s="9" t="s">
        <v>285</v>
      </c>
      <c r="C127" s="9" t="s">
        <v>286</v>
      </c>
      <c r="D127" s="9" t="s">
        <v>287</v>
      </c>
      <c r="E127" s="9" t="s">
        <v>288</v>
      </c>
    </row>
    <row r="128" customFormat="false" ht="19.5" hidden="false" customHeight="true" outlineLevel="0" collapsed="false">
      <c r="A128" s="57" t="s">
        <v>289</v>
      </c>
      <c r="B128" s="81" t="s">
        <v>50</v>
      </c>
      <c r="C128" s="81" t="s">
        <v>159</v>
      </c>
      <c r="D128" s="66" t="s">
        <v>159</v>
      </c>
      <c r="E128" s="82"/>
    </row>
    <row r="129" customFormat="false" ht="19.5" hidden="false" customHeight="true" outlineLevel="0" collapsed="false">
      <c r="A129" s="83" t="s">
        <v>291</v>
      </c>
      <c r="B129" s="84" t="s">
        <v>326</v>
      </c>
      <c r="C129" s="85" t="s">
        <v>327</v>
      </c>
      <c r="D129" s="86" t="s">
        <v>328</v>
      </c>
      <c r="E129" s="82"/>
    </row>
    <row r="130" customFormat="false" ht="19.5" hidden="false" customHeight="true" outlineLevel="0" collapsed="false">
      <c r="A130" s="57" t="s">
        <v>296</v>
      </c>
      <c r="B130" s="81" t="s">
        <v>297</v>
      </c>
      <c r="C130" s="81" t="s">
        <v>159</v>
      </c>
      <c r="D130" s="66" t="s">
        <v>159</v>
      </c>
      <c r="E130" s="82"/>
    </row>
    <row r="131" customFormat="false" ht="19.5" hidden="false" customHeight="true" outlineLevel="0" collapsed="false">
      <c r="A131" s="87" t="s">
        <v>299</v>
      </c>
      <c r="B131" s="88" t="s">
        <v>300</v>
      </c>
      <c r="C131" s="89" t="s">
        <v>366</v>
      </c>
      <c r="D131" s="90" t="s">
        <v>343</v>
      </c>
      <c r="E131" s="82"/>
    </row>
    <row r="132" customFormat="false" ht="19.5" hidden="false" customHeight="true" outlineLevel="0" collapsed="false">
      <c r="A132" s="57" t="s">
        <v>303</v>
      </c>
      <c r="B132" s="81" t="s">
        <v>297</v>
      </c>
      <c r="C132" s="81" t="s">
        <v>159</v>
      </c>
      <c r="D132" s="66" t="s">
        <v>159</v>
      </c>
      <c r="E132" s="82"/>
    </row>
    <row r="133" customFormat="false" ht="19.5" hidden="false" customHeight="true" outlineLevel="0" collapsed="false">
      <c r="A133" s="91" t="s">
        <v>304</v>
      </c>
      <c r="B133" s="92" t="s">
        <v>292</v>
      </c>
      <c r="C133" s="93" t="str">
        <f aca="false">"3s max singles — 3–5 quality efforts, 4–5 min full rest between. RPE leads (target →). 3s WM anchor set at W10 test."</f>
        <v>3s max singles — 3–5 quality efforts, 4–5 min full rest between. RPE leads (target →). 3s WM anchor set at W10 test.</v>
      </c>
      <c r="D133" s="94" t="s">
        <v>367</v>
      </c>
      <c r="E133" s="82"/>
    </row>
    <row r="134" customFormat="false" ht="19.5" hidden="false" customHeight="true" outlineLevel="0" collapsed="false">
      <c r="A134" s="91" t="s">
        <v>308</v>
      </c>
      <c r="B134" s="92" t="s">
        <v>50</v>
      </c>
      <c r="C134" s="93" t="s">
        <v>159</v>
      </c>
      <c r="D134" s="94" t="s">
        <v>159</v>
      </c>
      <c r="E134" s="82"/>
    </row>
    <row r="135" customFormat="false" ht="7.5" hidden="false" customHeight="true" outlineLevel="0" collapsed="false"/>
    <row r="136" customFormat="false" ht="21.75" hidden="false" customHeight="true" outlineLevel="0" collapsed="false">
      <c r="A136" s="76" t="s">
        <v>80</v>
      </c>
      <c r="B136" s="77" t="s">
        <v>368</v>
      </c>
      <c r="C136" s="77" t="s">
        <v>369</v>
      </c>
      <c r="D136" s="78"/>
      <c r="E136" s="78"/>
    </row>
    <row r="137" customFormat="false" ht="30" hidden="false" customHeight="true" outlineLevel="0" collapsed="false">
      <c r="A137" s="79" t="s">
        <v>282</v>
      </c>
      <c r="B137" s="80" t="s">
        <v>370</v>
      </c>
      <c r="C137" s="80"/>
      <c r="D137" s="80"/>
      <c r="E137" s="80"/>
    </row>
    <row r="138" customFormat="false" ht="18" hidden="false" customHeight="true" outlineLevel="0" collapsed="false">
      <c r="A138" s="9" t="s">
        <v>284</v>
      </c>
      <c r="B138" s="9" t="s">
        <v>285</v>
      </c>
      <c r="C138" s="9" t="s">
        <v>286</v>
      </c>
      <c r="D138" s="9" t="s">
        <v>287</v>
      </c>
      <c r="E138" s="9" t="s">
        <v>288</v>
      </c>
    </row>
    <row r="139" customFormat="false" ht="19.5" hidden="false" customHeight="true" outlineLevel="0" collapsed="false">
      <c r="A139" s="57" t="s">
        <v>289</v>
      </c>
      <c r="B139" s="81" t="s">
        <v>50</v>
      </c>
      <c r="C139" s="81" t="s">
        <v>159</v>
      </c>
      <c r="D139" s="66" t="s">
        <v>159</v>
      </c>
      <c r="E139" s="82"/>
    </row>
    <row r="140" customFormat="false" ht="19.5" hidden="false" customHeight="true" outlineLevel="0" collapsed="false">
      <c r="A140" s="83" t="s">
        <v>291</v>
      </c>
      <c r="B140" s="84" t="s">
        <v>326</v>
      </c>
      <c r="C140" s="85" t="s">
        <v>327</v>
      </c>
      <c r="D140" s="86" t="s">
        <v>328</v>
      </c>
      <c r="E140" s="82"/>
    </row>
    <row r="141" customFormat="false" ht="19.5" hidden="false" customHeight="true" outlineLevel="0" collapsed="false">
      <c r="A141" s="57" t="s">
        <v>296</v>
      </c>
      <c r="B141" s="81" t="s">
        <v>297</v>
      </c>
      <c r="C141" s="81" t="s">
        <v>159</v>
      </c>
      <c r="D141" s="66" t="s">
        <v>159</v>
      </c>
      <c r="E141" s="82"/>
    </row>
    <row r="142" customFormat="false" ht="19.5" hidden="false" customHeight="true" outlineLevel="0" collapsed="false">
      <c r="A142" s="87" t="s">
        <v>299</v>
      </c>
      <c r="B142" s="88" t="s">
        <v>300</v>
      </c>
      <c r="C142" s="89" t="s">
        <v>371</v>
      </c>
      <c r="D142" s="90" t="s">
        <v>343</v>
      </c>
      <c r="E142" s="82"/>
    </row>
    <row r="143" customFormat="false" ht="19.5" hidden="false" customHeight="true" outlineLevel="0" collapsed="false">
      <c r="A143" s="57" t="s">
        <v>303</v>
      </c>
      <c r="B143" s="81" t="s">
        <v>297</v>
      </c>
      <c r="C143" s="81" t="s">
        <v>159</v>
      </c>
      <c r="D143" s="66" t="s">
        <v>159</v>
      </c>
      <c r="E143" s="82"/>
    </row>
    <row r="144" customFormat="false" ht="19.5" hidden="false" customHeight="true" outlineLevel="0" collapsed="false">
      <c r="A144" s="91" t="s">
        <v>304</v>
      </c>
      <c r="B144" s="92" t="s">
        <v>292</v>
      </c>
      <c r="C144" s="93" t="str">
        <f aca="false">"3s max singles — 3–5 quality efforts, 4–5 min full rest between. RPE leads (target →). 3s WM anchor set at W10 test."</f>
        <v>3s max singles — 3–5 quality efforts, 4–5 min full rest between. RPE leads (target →). 3s WM anchor set at W10 test.</v>
      </c>
      <c r="D144" s="94" t="s">
        <v>367</v>
      </c>
      <c r="E144" s="82"/>
    </row>
    <row r="145" customFormat="false" ht="19.5" hidden="false" customHeight="true" outlineLevel="0" collapsed="false">
      <c r="A145" s="91" t="s">
        <v>308</v>
      </c>
      <c r="B145" s="92" t="s">
        <v>50</v>
      </c>
      <c r="C145" s="93" t="s">
        <v>159</v>
      </c>
      <c r="D145" s="94" t="s">
        <v>159</v>
      </c>
      <c r="E145" s="82"/>
    </row>
    <row r="146" customFormat="false" ht="7.5" hidden="false" customHeight="true" outlineLevel="0" collapsed="false"/>
    <row r="147" customFormat="false" ht="21.75" hidden="false" customHeight="true" outlineLevel="0" collapsed="false">
      <c r="A147" s="76" t="s">
        <v>84</v>
      </c>
      <c r="B147" s="77" t="s">
        <v>372</v>
      </c>
      <c r="C147" s="77" t="s">
        <v>373</v>
      </c>
      <c r="D147" s="78"/>
      <c r="E147" s="78"/>
    </row>
    <row r="148" customFormat="false" ht="30" hidden="false" customHeight="true" outlineLevel="0" collapsed="false">
      <c r="A148" s="79" t="s">
        <v>282</v>
      </c>
      <c r="B148" s="80" t="s">
        <v>374</v>
      </c>
      <c r="C148" s="80"/>
      <c r="D148" s="80"/>
      <c r="E148" s="80"/>
    </row>
    <row r="149" customFormat="false" ht="18" hidden="false" customHeight="true" outlineLevel="0" collapsed="false">
      <c r="A149" s="9" t="s">
        <v>284</v>
      </c>
      <c r="B149" s="9" t="s">
        <v>285</v>
      </c>
      <c r="C149" s="9" t="s">
        <v>286</v>
      </c>
      <c r="D149" s="9" t="s">
        <v>287</v>
      </c>
      <c r="E149" s="9" t="s">
        <v>288</v>
      </c>
    </row>
    <row r="150" customFormat="false" ht="19.5" hidden="false" customHeight="true" outlineLevel="0" collapsed="false">
      <c r="A150" s="57" t="s">
        <v>289</v>
      </c>
      <c r="B150" s="81" t="s">
        <v>50</v>
      </c>
      <c r="C150" s="81" t="s">
        <v>159</v>
      </c>
      <c r="D150" s="66" t="s">
        <v>159</v>
      </c>
      <c r="E150" s="82"/>
    </row>
    <row r="151" customFormat="false" ht="19.5" hidden="false" customHeight="true" outlineLevel="0" collapsed="false">
      <c r="A151" s="83" t="s">
        <v>291</v>
      </c>
      <c r="B151" s="84" t="s">
        <v>326</v>
      </c>
      <c r="C151" s="85" t="s">
        <v>327</v>
      </c>
      <c r="D151" s="86" t="s">
        <v>328</v>
      </c>
      <c r="E151" s="82"/>
    </row>
    <row r="152" customFormat="false" ht="19.5" hidden="false" customHeight="true" outlineLevel="0" collapsed="false">
      <c r="A152" s="57" t="s">
        <v>296</v>
      </c>
      <c r="B152" s="81" t="s">
        <v>297</v>
      </c>
      <c r="C152" s="81" t="s">
        <v>159</v>
      </c>
      <c r="D152" s="66" t="s">
        <v>159</v>
      </c>
      <c r="E152" s="82"/>
    </row>
    <row r="153" customFormat="false" ht="19.5" hidden="false" customHeight="true" outlineLevel="0" collapsed="false">
      <c r="A153" s="87" t="s">
        <v>299</v>
      </c>
      <c r="B153" s="88" t="s">
        <v>300</v>
      </c>
      <c r="C153" s="89" t="s">
        <v>375</v>
      </c>
      <c r="D153" s="90" t="s">
        <v>343</v>
      </c>
      <c r="E153" s="82"/>
    </row>
    <row r="154" customFormat="false" ht="19.5" hidden="false" customHeight="true" outlineLevel="0" collapsed="false">
      <c r="A154" s="57" t="s">
        <v>303</v>
      </c>
      <c r="B154" s="81" t="s">
        <v>297</v>
      </c>
      <c r="C154" s="81" t="s">
        <v>159</v>
      </c>
      <c r="D154" s="66" t="s">
        <v>159</v>
      </c>
      <c r="E154" s="82"/>
    </row>
    <row r="155" customFormat="false" ht="19.5" hidden="false" customHeight="true" outlineLevel="0" collapsed="false">
      <c r="A155" s="91" t="s">
        <v>304</v>
      </c>
      <c r="B155" s="92" t="s">
        <v>292</v>
      </c>
      <c r="C155" s="93" t="str">
        <f aca="false">"3s max singles — 3–5 quality efforts, 4–5 min full rest between. RPE leads (target →). 3s WM anchor set at W10 test."</f>
        <v>3s max singles — 3–5 quality efforts, 4–5 min full rest between. RPE leads (target →). 3s WM anchor set at W10 test.</v>
      </c>
      <c r="D155" s="94" t="s">
        <v>367</v>
      </c>
      <c r="E155" s="82"/>
    </row>
    <row r="156" customFormat="false" ht="19.5" hidden="false" customHeight="true" outlineLevel="0" collapsed="false">
      <c r="A156" s="91" t="s">
        <v>308</v>
      </c>
      <c r="B156" s="92" t="s">
        <v>50</v>
      </c>
      <c r="C156" s="93" t="s">
        <v>159</v>
      </c>
      <c r="D156" s="94" t="s">
        <v>159</v>
      </c>
      <c r="E156" s="82"/>
    </row>
    <row r="157" customFormat="false" ht="7.5" hidden="false" customHeight="true" outlineLevel="0" collapsed="false"/>
    <row r="158" customFormat="false" ht="21.75" hidden="false" customHeight="true" outlineLevel="0" collapsed="false">
      <c r="A158" s="76" t="s">
        <v>88</v>
      </c>
      <c r="B158" s="77" t="s">
        <v>376</v>
      </c>
      <c r="C158" s="77" t="s">
        <v>90</v>
      </c>
      <c r="D158" s="78"/>
      <c r="E158" s="78"/>
    </row>
    <row r="159" customFormat="false" ht="30" hidden="false" customHeight="true" outlineLevel="0" collapsed="false">
      <c r="A159" s="79" t="s">
        <v>282</v>
      </c>
      <c r="B159" s="80" t="s">
        <v>377</v>
      </c>
      <c r="C159" s="80"/>
      <c r="D159" s="80"/>
      <c r="E159" s="80"/>
    </row>
    <row r="160" customFormat="false" ht="18" hidden="false" customHeight="true" outlineLevel="0" collapsed="false">
      <c r="A160" s="9" t="s">
        <v>284</v>
      </c>
      <c r="B160" s="9" t="s">
        <v>285</v>
      </c>
      <c r="C160" s="9" t="s">
        <v>286</v>
      </c>
      <c r="D160" s="9" t="s">
        <v>287</v>
      </c>
      <c r="E160" s="9" t="s">
        <v>288</v>
      </c>
    </row>
    <row r="161" customFormat="false" ht="19.5" hidden="false" customHeight="true" outlineLevel="0" collapsed="false">
      <c r="A161" s="57" t="s">
        <v>289</v>
      </c>
      <c r="B161" s="81" t="s">
        <v>50</v>
      </c>
      <c r="C161" s="81" t="s">
        <v>334</v>
      </c>
      <c r="D161" s="66" t="s">
        <v>159</v>
      </c>
      <c r="E161" s="82"/>
    </row>
    <row r="162" customFormat="false" ht="19.5" hidden="false" customHeight="true" outlineLevel="0" collapsed="false">
      <c r="A162" s="95" t="s">
        <v>291</v>
      </c>
      <c r="B162" s="96" t="s">
        <v>335</v>
      </c>
      <c r="C162" s="96" t="str">
        <f aca="false">"3 sets @ ~"&amp;TEXT('Working Loads'!D37,"0.#")&amp;" kg (75% benchmark), 5s, no fatigue chasing"</f>
        <v>3 sets @ ~19 kg (75% benchmark), 5s, no fatigue chasing</v>
      </c>
      <c r="D162" s="97" t="s">
        <v>378</v>
      </c>
      <c r="E162" s="82"/>
    </row>
    <row r="163" customFormat="false" ht="19.5" hidden="false" customHeight="true" outlineLevel="0" collapsed="false">
      <c r="A163" s="57" t="s">
        <v>296</v>
      </c>
      <c r="B163" s="81" t="s">
        <v>50</v>
      </c>
      <c r="C163" s="81" t="s">
        <v>159</v>
      </c>
      <c r="D163" s="66" t="s">
        <v>159</v>
      </c>
      <c r="E163" s="82"/>
    </row>
    <row r="164" customFormat="false" ht="19.5" hidden="false" customHeight="true" outlineLevel="0" collapsed="false">
      <c r="A164" s="98" t="s">
        <v>299</v>
      </c>
      <c r="B164" s="99" t="s">
        <v>297</v>
      </c>
      <c r="C164" s="100" t="s">
        <v>159</v>
      </c>
      <c r="D164" s="101" t="s">
        <v>159</v>
      </c>
      <c r="E164" s="82"/>
    </row>
    <row r="165" customFormat="false" ht="19.5" hidden="false" customHeight="true" outlineLevel="0" collapsed="false">
      <c r="A165" s="57" t="s">
        <v>303</v>
      </c>
      <c r="B165" s="81" t="s">
        <v>50</v>
      </c>
      <c r="C165" s="81" t="s">
        <v>159</v>
      </c>
      <c r="D165" s="66" t="s">
        <v>159</v>
      </c>
      <c r="E165" s="82"/>
    </row>
    <row r="166" customFormat="false" ht="19.5" hidden="false" customHeight="true" outlineLevel="0" collapsed="false">
      <c r="A166" s="91" t="s">
        <v>304</v>
      </c>
      <c r="B166" s="92" t="s">
        <v>379</v>
      </c>
      <c r="C166" s="93" t="s">
        <v>380</v>
      </c>
      <c r="D166" s="94" t="s">
        <v>161</v>
      </c>
      <c r="E166" s="82"/>
    </row>
    <row r="167" customFormat="false" ht="19.5" hidden="false" customHeight="true" outlineLevel="0" collapsed="false">
      <c r="A167" s="57" t="s">
        <v>308</v>
      </c>
      <c r="B167" s="81" t="s">
        <v>381</v>
      </c>
      <c r="C167" s="81" t="s">
        <v>382</v>
      </c>
      <c r="D167" s="66" t="s">
        <v>161</v>
      </c>
      <c r="E167" s="82"/>
    </row>
    <row r="168" customFormat="false" ht="7.5" hidden="false" customHeight="true" outlineLevel="0" collapsed="false"/>
    <row r="169" customFormat="false" ht="21.75" hidden="false" customHeight="true" outlineLevel="0" collapsed="false">
      <c r="A169" s="76" t="s">
        <v>92</v>
      </c>
      <c r="B169" s="77" t="s">
        <v>383</v>
      </c>
      <c r="C169" s="77" t="s">
        <v>94</v>
      </c>
      <c r="D169" s="78"/>
      <c r="E169" s="78"/>
    </row>
    <row r="170" customFormat="false" ht="30" hidden="false" customHeight="true" outlineLevel="0" collapsed="false">
      <c r="A170" s="79" t="s">
        <v>282</v>
      </c>
      <c r="B170" s="80" t="s">
        <v>384</v>
      </c>
      <c r="C170" s="80"/>
      <c r="D170" s="80"/>
      <c r="E170" s="80"/>
    </row>
    <row r="171" customFormat="false" ht="18" hidden="false" customHeight="true" outlineLevel="0" collapsed="false">
      <c r="A171" s="9" t="s">
        <v>284</v>
      </c>
      <c r="B171" s="9" t="s">
        <v>285</v>
      </c>
      <c r="C171" s="9" t="s">
        <v>286</v>
      </c>
      <c r="D171" s="9" t="s">
        <v>287</v>
      </c>
      <c r="E171" s="9" t="s">
        <v>288</v>
      </c>
    </row>
    <row r="172" customFormat="false" ht="19.5" hidden="false" customHeight="true" outlineLevel="0" collapsed="false">
      <c r="A172" s="57" t="s">
        <v>289</v>
      </c>
      <c r="B172" s="81" t="s">
        <v>50</v>
      </c>
      <c r="C172" s="81" t="s">
        <v>159</v>
      </c>
      <c r="D172" s="66" t="s">
        <v>159</v>
      </c>
      <c r="E172" s="82"/>
    </row>
    <row r="173" customFormat="false" ht="19.5" hidden="false" customHeight="true" outlineLevel="0" collapsed="false">
      <c r="A173" s="83" t="s">
        <v>291</v>
      </c>
      <c r="B173" s="84" t="s">
        <v>385</v>
      </c>
      <c r="C173" s="85" t="s">
        <v>386</v>
      </c>
      <c r="D173" s="86" t="s">
        <v>307</v>
      </c>
      <c r="E173" s="82"/>
    </row>
    <row r="174" customFormat="false" ht="19.5" hidden="false" customHeight="true" outlineLevel="0" collapsed="false">
      <c r="A174" s="57" t="s">
        <v>296</v>
      </c>
      <c r="B174" s="81" t="s">
        <v>387</v>
      </c>
      <c r="C174" s="81" t="s">
        <v>388</v>
      </c>
      <c r="D174" s="66" t="s">
        <v>159</v>
      </c>
      <c r="E174" s="82"/>
    </row>
    <row r="175" customFormat="false" ht="19.5" hidden="false" customHeight="true" outlineLevel="0" collapsed="false">
      <c r="A175" s="87" t="s">
        <v>299</v>
      </c>
      <c r="B175" s="88" t="s">
        <v>389</v>
      </c>
      <c r="C175" s="89" t="str">
        <f aca="false">"2 sets @ ~"&amp;TEXT(ROUND('Working Loads'!$B$5*0.8*2,0)/2,"0.#")&amp;" kg (80% benchmark), 5s (optional)"</f>
        <v>2 sets @ ~20 kg (80% benchmark), 5s (optional)</v>
      </c>
      <c r="D175" s="90" t="s">
        <v>390</v>
      </c>
      <c r="E175" s="82"/>
    </row>
    <row r="176" customFormat="false" ht="19.5" hidden="false" customHeight="true" outlineLevel="0" collapsed="false">
      <c r="A176" s="57" t="s">
        <v>303</v>
      </c>
      <c r="B176" s="81" t="s">
        <v>297</v>
      </c>
      <c r="C176" s="81" t="s">
        <v>159</v>
      </c>
      <c r="D176" s="66" t="s">
        <v>159</v>
      </c>
      <c r="E176" s="82"/>
    </row>
    <row r="177" customFormat="false" ht="19.5" hidden="false" customHeight="true" outlineLevel="0" collapsed="false">
      <c r="A177" s="91" t="s">
        <v>304</v>
      </c>
      <c r="B177" s="92" t="s">
        <v>391</v>
      </c>
      <c r="C177" s="93" t="str">
        <f aca="false">"2–3 near-max singles @ ~"&amp;TEXT('Working Loads'!D38,"0.#")&amp;" kg (@9), 5+ min rest"</f>
        <v>2–3 near-max singles @ ~24 kg (@9), 5+ min rest</v>
      </c>
      <c r="D177" s="94" t="s">
        <v>154</v>
      </c>
      <c r="E177" s="82"/>
    </row>
    <row r="178" customFormat="false" ht="19.5" hidden="false" customHeight="true" outlineLevel="0" collapsed="false">
      <c r="A178" s="57" t="s">
        <v>308</v>
      </c>
      <c r="B178" s="81" t="s">
        <v>392</v>
      </c>
      <c r="C178" s="81" t="s">
        <v>393</v>
      </c>
      <c r="D178" s="66" t="s">
        <v>159</v>
      </c>
      <c r="E178" s="82"/>
    </row>
    <row r="179" customFormat="false" ht="7.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8">
    <mergeCell ref="A1:E1"/>
    <mergeCell ref="A2:E2"/>
    <mergeCell ref="B5:E5"/>
    <mergeCell ref="B16:E16"/>
    <mergeCell ref="B27:E27"/>
    <mergeCell ref="B38:E38"/>
    <mergeCell ref="B49:E49"/>
    <mergeCell ref="B60:E60"/>
    <mergeCell ref="B71:E71"/>
    <mergeCell ref="B82:E82"/>
    <mergeCell ref="B93:E93"/>
    <mergeCell ref="B104:E104"/>
    <mergeCell ref="B115:E115"/>
    <mergeCell ref="B126:E126"/>
    <mergeCell ref="B137:E137"/>
    <mergeCell ref="B148:E148"/>
    <mergeCell ref="B159:E159"/>
    <mergeCell ref="B170:E170"/>
  </mergeCells>
  <dataValidations count="1">
    <dataValidation allowBlank="true" errorStyle="stop" operator="between" showDropDown="false" showErrorMessage="false" showInputMessage="false" sqref="E6:E15 E17:E26 E28:E37 E39:E48 E50:E59 E61:E70 E72:E81 E83:E92 E94:E103 E105:E114 E116:E125 E127:E136 E138:E147 E149:E158 E160:E169 E171:E500" type="list">
      <formula1>"Done,Partial,Skipped,—,Done? / Actual"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25"/>
  </cols>
  <sheetData>
    <row r="1" customFormat="false" ht="17.25" hidden="false" customHeight="true" outlineLevel="0" collapsed="false">
      <c r="A1" s="67" t="s">
        <v>394</v>
      </c>
      <c r="B1" s="67"/>
      <c r="C1" s="67"/>
      <c r="D1" s="67"/>
      <c r="E1" s="67"/>
    </row>
    <row r="2" customFormat="false" ht="15" hidden="false" customHeight="true" outlineLevel="0" collapsed="false">
      <c r="A2" s="3" t="s">
        <v>395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/>
    <row r="4" customFormat="false" ht="15" hidden="false" customHeight="true" outlineLevel="0" collapsed="false">
      <c r="A4" s="102" t="s">
        <v>396</v>
      </c>
      <c r="B4" s="102"/>
      <c r="D4" s="102" t="s">
        <v>397</v>
      </c>
      <c r="E4" s="102"/>
      <c r="F4" s="79"/>
      <c r="G4" s="79"/>
    </row>
    <row r="5" customFormat="false" ht="15" hidden="false" customHeight="true" outlineLevel="0" collapsed="false">
      <c r="A5" s="71" t="s">
        <v>398</v>
      </c>
      <c r="B5" s="103" t="n">
        <f aca="false">IFERROR(SUMPRODUCT(MAX((Log!B5:B404="Yielding")*N(Log!E5:E404))),"")</f>
        <v>25</v>
      </c>
      <c r="D5" s="104" t="s">
        <v>179</v>
      </c>
      <c r="E5" s="104" t="s">
        <v>399</v>
      </c>
      <c r="F5" s="104" t="s">
        <v>400</v>
      </c>
      <c r="G5" s="104" t="s">
        <v>401</v>
      </c>
    </row>
    <row r="6" customFormat="false" ht="15" hidden="false" customHeight="true" outlineLevel="0" collapsed="false">
      <c r="A6" s="71" t="s">
        <v>402</v>
      </c>
      <c r="B6" s="103" t="n">
        <f aca="false">IFERROR(LOOKUP(2,1/((Log!B5:B404="Yielding")*(Log!E5:E404&lt;&gt;"")),Log!E5:E404),"")</f>
        <v>20</v>
      </c>
      <c r="D6" s="105" t="n">
        <f aca="false" t="array" ref="D6:D6">IFERROR(IF(SUMPRODUCT(LARGE((Log!B5:B404="Yielding")*ROW(Log!B5:B404),1))=0,"",INDEX(Log!A:A,SUMPRODUCT(LARGE((Log!B5:B404="Yielding")*ROW(Log!B5:B404),1)))),"")</f>
        <v>46173</v>
      </c>
      <c r="E6" s="106" t="n">
        <f aca="false" t="array" ref="E6:E6">IFERROR(IF(SUMPRODUCT(LARGE((Log!B5:B404="Yielding")*ROW(Log!B5:B404),1))=0,"",INDEX(Log!E:E,SUMPRODUCT(LARGE((Log!B5:B404="Yielding")*ROW(Log!B5:B404),1)))),"")</f>
        <v>20</v>
      </c>
      <c r="F6" s="106" t="n">
        <f aca="false" t="array" ref="F6:F6">IFERROR(IF(SUMPRODUCT(LARGE((Log!B5:B404="Yielding")*ROW(Log!B5:B404),1))=0,"",INDEX(Log!F:F,SUMPRODUCT(LARGE((Log!B5:B404="Yielding")*ROW(Log!B5:B404),1)))),"")</f>
        <v>7</v>
      </c>
      <c r="G6" s="107" t="str">
        <f aca="false" t="array" ref="G6:G6">IFERROR(IF(SUMPRODUCT(LARGE((Log!B5:B404="Yielding")*ROW(Log!B5:B404),1))=0,"",INDEX(Log!D:D,SUMPRODUCT(LARGE((Log!B5:B404="Yielding")*ROW(Log!B5:B404),1)))),"")</f>
        <v>Volume</v>
      </c>
    </row>
    <row r="7" customFormat="false" ht="15" hidden="false" customHeight="true" outlineLevel="0" collapsed="false">
      <c r="A7" s="71" t="s">
        <v>403</v>
      </c>
      <c r="B7" s="105" t="n">
        <f aca="false">IFERROR(LOOKUP(2,1/((Log!B5:B404="Yielding")*(Log!E5:E404&lt;&gt;"")),Log!A5:A404),"")</f>
        <v>46173</v>
      </c>
      <c r="D7" s="105" t="n">
        <f aca="false" t="array" ref="D7:D7">IFERROR(IF(SUMPRODUCT(LARGE((Log!B5:B404="Yielding")*ROW(Log!B5:B404),2))=0,"",INDEX(Log!A:A,SUMPRODUCT(LARGE((Log!B5:B404="Yielding")*ROW(Log!B5:B404),2)))),"")</f>
        <v>46168</v>
      </c>
      <c r="E7" s="106" t="n">
        <f aca="false" t="array" ref="E7:E7">IFERROR(IF(SUMPRODUCT(LARGE((Log!B5:B404="Yielding")*ROW(Log!B5:B404),2))=0,"",INDEX(Log!E:E,SUMPRODUCT(LARGE((Log!B5:B404="Yielding")*ROW(Log!B5:B404),2)))),"")</f>
        <v>25</v>
      </c>
      <c r="F7" s="106" t="n">
        <f aca="false" t="array" ref="F7:F7">IFERROR(IF(SUMPRODUCT(LARGE((Log!B5:B404="Yielding")*ROW(Log!B5:B404),2))=0,"",INDEX(Log!F:F,SUMPRODUCT(LARGE((Log!B5:B404="Yielding")*ROW(Log!B5:B404),2)))),"")</f>
        <v>9</v>
      </c>
      <c r="G7" s="107" t="str">
        <f aca="false" t="array" ref="G7:G7">IFERROR(IF(SUMPRODUCT(LARGE((Log!B5:B404="Yielding")*ROW(Log!B5:B404),2))=0,"",INDEX(Log!D:D,SUMPRODUCT(LARGE((Log!B5:B404="Yielding")*ROW(Log!B5:B404),2)))),"")</f>
        <v>Heavy</v>
      </c>
    </row>
    <row r="8" customFormat="false" ht="15" hidden="false" customHeight="true" outlineLevel="0" collapsed="false">
      <c r="A8" s="71" t="s">
        <v>404</v>
      </c>
      <c r="B8" s="108" t="n">
        <f aca="false">IFERROR(LOOKUP(2,1/((Log!B5:B404="Yielding")*(Log!F5:F404&lt;&gt;"")),Log!F5:F404),"")</f>
        <v>7</v>
      </c>
      <c r="D8" s="105" t="n">
        <f aca="false" t="array" ref="D8:D8">IFERROR(IF(SUMPRODUCT(LARGE((Log!B5:B404="Yielding")*ROW(Log!B5:B404),3))=0,"",INDEX(Log!A:A,SUMPRODUCT(LARGE((Log!B5:B404="Yielding")*ROW(Log!B5:B404),3)))),"")</f>
        <v>46161</v>
      </c>
      <c r="E8" s="106" t="n">
        <f aca="false" t="array" ref="E8:E8">IFERROR(IF(SUMPRODUCT(LARGE((Log!B5:B404="Yielding")*ROW(Log!B5:B404),3))=0,"",INDEX(Log!E:E,SUMPRODUCT(LARGE((Log!B5:B404="Yielding")*ROW(Log!B5:B404),3)))),"")</f>
        <v>25</v>
      </c>
      <c r="F8" s="106" t="n">
        <f aca="false" t="array" ref="F8:F8">IFERROR(IF(SUMPRODUCT(LARGE((Log!B5:B404="Yielding")*ROW(Log!B5:B404),3))=0,"",INDEX(Log!F:F,SUMPRODUCT(LARGE((Log!B5:B404="Yielding")*ROW(Log!B5:B404),3)))),"")</f>
        <v>10</v>
      </c>
      <c r="G8" s="107" t="str">
        <f aca="false" t="array" ref="G8:G8">IFERROR(IF(SUMPRODUCT(LARGE((Log!B5:B404="Yielding")*ROW(Log!B5:B404),3))=0,"",INDEX(Log!D:D,SUMPRODUCT(LARGE((Log!B5:B404="Yielding")*ROW(Log!B5:B404),3)))),"")</f>
        <v>Heavy</v>
      </c>
    </row>
    <row r="9" customFormat="false" ht="15" hidden="false" customHeight="true" outlineLevel="0" collapsed="false">
      <c r="A9" s="71" t="s">
        <v>405</v>
      </c>
      <c r="B9" s="108" t="n">
        <f aca="false">COUNTIF(Log!B5:B404,"Yielding")</f>
        <v>9</v>
      </c>
      <c r="D9" s="105" t="n">
        <f aca="false" t="array" ref="D9:D9">IFERROR(IF(SUMPRODUCT(LARGE((Log!B5:B404="Yielding")*ROW(Log!B5:B404),4))=0,"",INDEX(Log!A:A,SUMPRODUCT(LARGE((Log!B5:B404="Yielding")*ROW(Log!B5:B404),4)))),"")</f>
        <v>46156</v>
      </c>
      <c r="E9" s="106" t="n">
        <f aca="false" t="array" ref="E9:E9">IFERROR(IF(SUMPRODUCT(LARGE((Log!B5:B404="Yielding")*ROW(Log!B5:B404),4))=0,"",INDEX(Log!E:E,SUMPRODUCT(LARGE((Log!B5:B404="Yielding")*ROW(Log!B5:B404),4)))),"")</f>
        <v>20</v>
      </c>
      <c r="F9" s="106" t="n">
        <f aca="false" t="array" ref="F9:F9">IFERROR(IF(SUMPRODUCT(LARGE((Log!B5:B404="Yielding")*ROW(Log!B5:B404),4))=0,"",INDEX(Log!F:F,SUMPRODUCT(LARGE((Log!B5:B404="Yielding")*ROW(Log!B5:B404),4)))),"")</f>
        <v>10</v>
      </c>
      <c r="G9" s="107" t="str">
        <f aca="false" t="array" ref="G9:G9">IFERROR(IF(SUMPRODUCT(LARGE((Log!B5:B404="Yielding")*ROW(Log!B5:B404),4))=0,"",INDEX(Log!D:D,SUMPRODUCT(LARGE((Log!B5:B404="Yielding")*ROW(Log!B5:B404),4)))),"")</f>
        <v>Volume</v>
      </c>
    </row>
    <row r="10" customFormat="false" ht="15" hidden="false" customHeight="true" outlineLevel="0" collapsed="false">
      <c r="A10" s="71" t="s">
        <v>406</v>
      </c>
      <c r="B10" s="108" t="n">
        <f aca="false">COUNTIF(Log!B5:B404,"OI")</f>
        <v>8</v>
      </c>
      <c r="D10" s="105" t="n">
        <f aca="false" t="array" ref="D10:D10">IFERROR(IF(SUMPRODUCT(LARGE((Log!B5:B404="Yielding")*ROW(Log!B5:B404),5))=0,"",INDEX(Log!A:A,SUMPRODUCT(LARGE((Log!B5:B404="Yielding")*ROW(Log!B5:B404),5)))),"")</f>
        <v>46154</v>
      </c>
      <c r="E10" s="106" t="n">
        <f aca="false" t="array" ref="E10:E10">IFERROR(IF(SUMPRODUCT(LARGE((Log!B5:B404="Yielding")*ROW(Log!B5:B404),5))=0,"",INDEX(Log!E:E,SUMPRODUCT(LARGE((Log!B5:B404="Yielding")*ROW(Log!B5:B404),5)))),"")</f>
        <v>25</v>
      </c>
      <c r="F10" s="106" t="n">
        <f aca="false" t="array" ref="F10:F10">IFERROR(IF(SUMPRODUCT(LARGE((Log!B5:B404="Yielding")*ROW(Log!B5:B404),5))=0,"",INDEX(Log!F:F,SUMPRODUCT(LARGE((Log!B5:B404="Yielding")*ROW(Log!B5:B404),5)))),"")</f>
        <v>10</v>
      </c>
      <c r="G10" s="107" t="str">
        <f aca="false" t="array" ref="G10:G10">IFERROR(IF(SUMPRODUCT(LARGE((Log!B5:B404="Yielding")*ROW(Log!B5:B404),5))=0,"",INDEX(Log!D:D,SUMPRODUCT(LARGE((Log!B5:B404="Yielding")*ROW(Log!B5:B404),5)))),"")</f>
        <v>Heavy</v>
      </c>
    </row>
    <row r="11" customFormat="false" ht="15" hidden="false" customHeight="true" outlineLevel="0" collapsed="false">
      <c r="A11" s="71" t="s">
        <v>407</v>
      </c>
      <c r="B11" s="109" t="n">
        <f aca="false">COUNTIF(Log!B5:B404,"Climbing")</f>
        <v>2</v>
      </c>
      <c r="D11" s="105" t="n">
        <f aca="false" t="array" ref="D11:D11">IFERROR(IF(SUMPRODUCT(LARGE((Log!B5:B404="Yielding")*ROW(Log!B5:B404),6))=0,"",INDEX(Log!A:A,SUMPRODUCT(LARGE((Log!B5:B404="Yielding")*ROW(Log!B5:B404),6)))),"")</f>
        <v>46146</v>
      </c>
      <c r="E11" s="106" t="n">
        <f aca="false" t="array" ref="E11:E11">IFERROR(IF(SUMPRODUCT(LARGE((Log!B5:B404="Yielding")*ROW(Log!B5:B404),6))=0,"",INDEX(Log!E:E,SUMPRODUCT(LARGE((Log!B5:B404="Yielding")*ROW(Log!B5:B404),6)))),"")</f>
        <v>20</v>
      </c>
      <c r="F11" s="106" t="n">
        <f aca="false">IFERROR(IF(SUMPRODUCT(LARGE((Log!B5:B404="Yielding")*ROW(Log!B5:B404),6))=0,"",INDEX(Log!F:F,SUMPRODUCT(LARGE((Log!B5:B404="Yielding")*ROW(Log!B5:B404),6)))),"")</f>
        <v>0</v>
      </c>
      <c r="G11" s="107" t="n">
        <f aca="false">IFERROR(IF(SUMPRODUCT(LARGE((Log!B5:B404="Yielding")*ROW(Log!B5:B404),6))=0,"",INDEX(Log!D:D,SUMPRODUCT(LARGE((Log!B5:B404="Yielding")*ROW(Log!B5:B404),6)))),"")</f>
        <v>0</v>
      </c>
    </row>
    <row r="12" customFormat="false" ht="15" hidden="false" customHeight="true" outlineLevel="0" collapsed="false">
      <c r="A12" s="71" t="s">
        <v>408</v>
      </c>
      <c r="B12" s="108" t="n">
        <f aca="true">IFERROR(AVERAGE(OFFSET(Log!J5,MAX(0,COUNTA(Log!A5:A404)-10),0,MIN(10,COUNTA(Log!A5:A404)),1)),"")</f>
        <v>3.1</v>
      </c>
      <c r="D12" s="105" t="n">
        <f aca="false" t="array" ref="D12:D12">IFERROR(IF(SUMPRODUCT(LARGE((Log!B5:B404="Yielding")*ROW(Log!B5:B404),7))=0,"",INDEX(Log!A:A,SUMPRODUCT(LARGE((Log!B5:B404="Yielding")*ROW(Log!B5:B404),7)))),"")</f>
        <v>46143</v>
      </c>
      <c r="E12" s="106" t="n">
        <f aca="false" t="array" ref="E12:E12">IFERROR(IF(SUMPRODUCT(LARGE((Log!B5:B404="Yielding")*ROW(Log!B5:B404),7))=0,"",INDEX(Log!E:E,SUMPRODUCT(LARGE((Log!B5:B404="Yielding")*ROW(Log!B5:B404),7)))),"")</f>
        <v>15</v>
      </c>
      <c r="F12" s="106" t="n">
        <f aca="false">IFERROR(IF(SUMPRODUCT(LARGE((Log!B5:B404="Yielding")*ROW(Log!B5:B404),7))=0,"",INDEX(Log!F:F,SUMPRODUCT(LARGE((Log!B5:B404="Yielding")*ROW(Log!B5:B404),7)))),"")</f>
        <v>0</v>
      </c>
      <c r="G12" s="107" t="n">
        <f aca="false">IFERROR(IF(SUMPRODUCT(LARGE((Log!B5:B404="Yielding")*ROW(Log!B5:B404),7))=0,"",INDEX(Log!D:D,SUMPRODUCT(LARGE((Log!B5:B404="Yielding")*ROW(Log!B5:B404),7)))),"")</f>
        <v>0</v>
      </c>
    </row>
    <row r="13" customFormat="false" ht="15" hidden="false" customHeight="true" outlineLevel="0" collapsed="false">
      <c r="A13" s="71" t="s">
        <v>409</v>
      </c>
      <c r="B13" s="109" t="str">
        <f aca="true">IFERROR(AVERAGEIF(OFFSET(Log!F5,MAX(0,COUNTIF(Log!B5:B404,"Yielding")-5),0,MIN(5,COUNTIF(Log!B5:B404,"Yielding")),1),"&lt;&gt;"),"")</f>
        <v/>
      </c>
      <c r="D13" s="105" t="n">
        <f aca="false" t="array" ref="D13:D13">IFERROR(IF(SUMPRODUCT(LARGE((Log!B5:B404="Yielding")*ROW(Log!B5:B404),8))=0,"",INDEX(Log!A:A,SUMPRODUCT(LARGE((Log!B5:B404="Yielding")*ROW(Log!B5:B404),8)))),"")</f>
        <v>46134</v>
      </c>
      <c r="E13" s="106" t="n">
        <f aca="false" t="array" ref="E13:E13">IFERROR(IF(SUMPRODUCT(LARGE((Log!B5:B404="Yielding")*ROW(Log!B5:B404),8))=0,"",INDEX(Log!E:E,SUMPRODUCT(LARGE((Log!B5:B404="Yielding")*ROW(Log!B5:B404),8)))),"")</f>
        <v>25</v>
      </c>
      <c r="F13" s="106" t="n">
        <f aca="false">IFERROR(IF(SUMPRODUCT(LARGE((Log!B5:B404="Yielding")*ROW(Log!B5:B404),8))=0,"",INDEX(Log!F:F,SUMPRODUCT(LARGE((Log!B5:B404="Yielding")*ROW(Log!B5:B404),8)))),"")</f>
        <v>0</v>
      </c>
      <c r="G13" s="107" t="n">
        <f aca="false">IFERROR(IF(SUMPRODUCT(LARGE((Log!B5:B404="Yielding")*ROW(Log!B5:B404),8))=0,"",INDEX(Log!D:D,SUMPRODUCT(LARGE((Log!B5:B404="Yielding")*ROW(Log!B5:B404),8)))),"")</f>
        <v>0</v>
      </c>
    </row>
    <row r="14" customFormat="false" ht="15" hidden="false" customHeight="true" outlineLevel="0" collapsed="false">
      <c r="A14" s="71" t="s">
        <v>410</v>
      </c>
      <c r="B14" s="108" t="n">
        <f aca="false">COUNTIFS(Log!I5:I404,"&lt;=5",Log!B5:B404,"&lt;&gt;Climbing")</f>
        <v>10</v>
      </c>
      <c r="D14" s="105" t="n">
        <f aca="false" t="array" ref="D14:D14">IFERROR(IF(SUMPRODUCT(LARGE((Log!B5:B404="Yielding")*ROW(Log!B5:B404),9))=0,"",INDEX(Log!A:A,SUMPRODUCT(LARGE((Log!B5:B404="Yielding")*ROW(Log!B5:B404),9)))),"")</f>
        <v>46126</v>
      </c>
      <c r="E14" s="106" t="n">
        <f aca="false" t="array" ref="E14:E14">IFERROR(IF(SUMPRODUCT(LARGE((Log!B5:B404="Yielding")*ROW(Log!B5:B404),9))=0,"",INDEX(Log!E:E,SUMPRODUCT(LARGE((Log!B5:B404="Yielding")*ROW(Log!B5:B404),9)))),"")</f>
        <v>20</v>
      </c>
      <c r="F14" s="106" t="n">
        <f aca="false">IFERROR(IF(SUMPRODUCT(LARGE((Log!B5:B404="Yielding")*ROW(Log!B5:B404),9))=0,"",INDEX(Log!F:F,SUMPRODUCT(LARGE((Log!B5:B404="Yielding")*ROW(Log!B5:B404),9)))),"")</f>
        <v>0</v>
      </c>
      <c r="G14" s="107" t="n">
        <f aca="false">IFERROR(IF(SUMPRODUCT(LARGE((Log!B5:B404="Yielding")*ROW(Log!B5:B404),9))=0,"",INDEX(Log!D:D,SUMPRODUCT(LARGE((Log!B5:B404="Yielding")*ROW(Log!B5:B404),9)))),"")</f>
        <v>0</v>
      </c>
    </row>
    <row r="15" customFormat="false" ht="15" hidden="false" customHeight="true" outlineLevel="0" collapsed="false">
      <c r="D15" s="105" t="str">
        <f aca="false" t="array" ref="D15:D15">IFERROR(IF(SUMPRODUCT(LARGE((Log!B5:B404="Yielding")*ROW(Log!B5:B404),10))=0,"",INDEX(Log!A:A,SUMPRODUCT(LARGE((Log!B5:B404="Yielding")*ROW(Log!B5:B404),10)))),"")</f>
        <v/>
      </c>
      <c r="E15" s="106" t="str">
        <f aca="false" t="array" ref="E15:E15">IFERROR(IF(SUMPRODUCT(LARGE((Log!B5:B404="Yielding")*ROW(Log!B5:B404),10))=0,"",INDEX(Log!E:E,SUMPRODUCT(LARGE((Log!B5:B404="Yielding")*ROW(Log!B5:B404),10)))),"")</f>
        <v/>
      </c>
      <c r="F15" s="106" t="str">
        <f aca="false" t="array" ref="F15:F15">IFERROR(IF(SUMPRODUCT(LARGE((Log!B5:B404="Yielding")*ROW(Log!B5:B404),10))=0,"",INDEX(Log!F:F,SUMPRODUCT(LARGE((Log!B5:B404="Yielding")*ROW(Log!B5:B404),10)))),"")</f>
        <v/>
      </c>
      <c r="G15" s="107" t="str">
        <f aca="false" t="array" ref="G15:G15">IFERROR(IF(SUMPRODUCT(LARGE((Log!B5:B404="Yielding")*ROW(Log!B5:B404),10))=0,"",INDEX(Log!D:D,SUMPRODUCT(LARGE((Log!B5:B404="Yielding")*ROW(Log!B5:B404),10)))),"")</f>
        <v/>
      </c>
    </row>
    <row r="16" customFormat="false" ht="15" hidden="false" customHeight="true" outlineLevel="0" collapsed="false">
      <c r="A16" s="79" t="s">
        <v>411</v>
      </c>
      <c r="B16" s="5"/>
      <c r="D16" s="105" t="str">
        <f aca="false" t="array" ref="D16:D16">IFERROR(IF(SUMPRODUCT(LARGE((Log!B5:B404="Yielding")*ROW(Log!B5:B404),11))=0,"",INDEX(Log!A:A,SUMPRODUCT(LARGE((Log!B5:B404="Yielding")*ROW(Log!B5:B404),11)))),"")</f>
        <v/>
      </c>
      <c r="E16" s="106" t="str">
        <f aca="false" t="array" ref="E16:E16">IFERROR(IF(SUMPRODUCT(LARGE((Log!B5:B404="Yielding")*ROW(Log!B5:B404),11))=0,"",INDEX(Log!E:E,SUMPRODUCT(LARGE((Log!B5:B404="Yielding")*ROW(Log!B5:B404),11)))),"")</f>
        <v/>
      </c>
      <c r="F16" s="106" t="str">
        <f aca="false" t="array" ref="F16:F16">IFERROR(IF(SUMPRODUCT(LARGE((Log!B5:B404="Yielding")*ROW(Log!B5:B404),11))=0,"",INDEX(Log!F:F,SUMPRODUCT(LARGE((Log!B5:B404="Yielding")*ROW(Log!B5:B404),11)))),"")</f>
        <v/>
      </c>
      <c r="G16" s="107" t="str">
        <f aca="false" t="array" ref="G16:G16">IFERROR(IF(SUMPRODUCT(LARGE((Log!B5:B404="Yielding")*ROW(Log!B5:B404),11))=0,"",INDEX(Log!D:D,SUMPRODUCT(LARGE((Log!B5:B404="Yielding")*ROW(Log!B5:B404),11)))),"")</f>
        <v/>
      </c>
    </row>
    <row r="17" customFormat="false" ht="30" hidden="false" customHeight="true" outlineLevel="0" collapsed="false">
      <c r="A17" s="55" t="s">
        <v>412</v>
      </c>
      <c r="B17" s="55"/>
      <c r="D17" s="105" t="str">
        <f aca="false" t="array" ref="D17:D17">IFERROR(IF(SUMPRODUCT(LARGE((Log!B5:B404="Yielding")*ROW(Log!B5:B404),12))=0,"",INDEX(Log!A:A,SUMPRODUCT(LARGE((Log!B5:B404="Yielding")*ROW(Log!B5:B404),12)))),"")</f>
        <v/>
      </c>
      <c r="E17" s="106" t="str">
        <f aca="false" t="array" ref="E17:E17">IFERROR(IF(SUMPRODUCT(LARGE((Log!B5:B404="Yielding")*ROW(Log!B5:B404),12))=0,"",INDEX(Log!E:E,SUMPRODUCT(LARGE((Log!B5:B404="Yielding")*ROW(Log!B5:B404),12)))),"")</f>
        <v/>
      </c>
      <c r="F17" s="106" t="str">
        <f aca="false" t="array" ref="F17:F17">IFERROR(IF(SUMPRODUCT(LARGE((Log!B5:B404="Yielding")*ROW(Log!B5:B404),12))=0,"",INDEX(Log!F:F,SUMPRODUCT(LARGE((Log!B5:B404="Yielding")*ROW(Log!B5:B404),12)))),"")</f>
        <v/>
      </c>
      <c r="G17" s="107" t="str">
        <f aca="false" t="array" ref="G17:G17">IFERROR(IF(SUMPRODUCT(LARGE((Log!B5:B404="Yielding")*ROW(Log!B5:B404),12))=0,"",INDEX(Log!D:D,SUMPRODUCT(LARGE((Log!B5:B404="Yielding")*ROW(Log!B5:B404),12)))),"")</f>
        <v/>
      </c>
    </row>
    <row r="18" customFormat="false" ht="15" hidden="false" customHeight="true" outlineLevel="0" collapsed="false">
      <c r="A18" s="55"/>
      <c r="B18" s="55"/>
      <c r="D18" s="105" t="str">
        <f aca="false" t="array" ref="D18:D18">IFERROR(IF(SUMPRODUCT(LARGE((Log!B5:B404="Yielding")*ROW(Log!B5:B404),13))=0,"",INDEX(Log!A:A,SUMPRODUCT(LARGE((Log!B5:B404="Yielding")*ROW(Log!B5:B404),13)))),"")</f>
        <v/>
      </c>
      <c r="E18" s="106" t="str">
        <f aca="false" t="array" ref="E18:E18">IFERROR(IF(SUMPRODUCT(LARGE((Log!B5:B404="Yielding")*ROW(Log!B5:B404),13))=0,"",INDEX(Log!E:E,SUMPRODUCT(LARGE((Log!B5:B404="Yielding")*ROW(Log!B5:B404),13)))),"")</f>
        <v/>
      </c>
      <c r="F18" s="106" t="str">
        <f aca="false" t="array" ref="F18:F18">IFERROR(IF(SUMPRODUCT(LARGE((Log!B5:B404="Yielding")*ROW(Log!B5:B404),13))=0,"",INDEX(Log!F:F,SUMPRODUCT(LARGE((Log!B5:B404="Yielding")*ROW(Log!B5:B404),13)))),"")</f>
        <v/>
      </c>
      <c r="G18" s="107" t="str">
        <f aca="false" t="array" ref="G18:G18">IFERROR(IF(SUMPRODUCT(LARGE((Log!B5:B404="Yielding")*ROW(Log!B5:B404),13))=0,"",INDEX(Log!D:D,SUMPRODUCT(LARGE((Log!B5:B404="Yielding")*ROW(Log!B5:B404),13)))),"")</f>
        <v/>
      </c>
    </row>
    <row r="19" customFormat="false" ht="15" hidden="false" customHeight="true" outlineLevel="0" collapsed="false">
      <c r="D19" s="105" t="str">
        <f aca="false" t="array" ref="D19:D19">IFERROR(IF(SUMPRODUCT(LARGE((Log!B5:B404="Yielding")*ROW(Log!B5:B404),14))=0,"",INDEX(Log!A:A,SUMPRODUCT(LARGE((Log!B5:B404="Yielding")*ROW(Log!B5:B404),14)))),"")</f>
        <v/>
      </c>
      <c r="E19" s="106" t="str">
        <f aca="false" t="array" ref="E19:E19">IFERROR(IF(SUMPRODUCT(LARGE((Log!B5:B404="Yielding")*ROW(Log!B5:B404),14))=0,"",INDEX(Log!E:E,SUMPRODUCT(LARGE((Log!B5:B404="Yielding")*ROW(Log!B5:B404),14)))),"")</f>
        <v/>
      </c>
      <c r="F19" s="106" t="str">
        <f aca="false" t="array" ref="F19:F19">IFERROR(IF(SUMPRODUCT(LARGE((Log!B5:B404="Yielding")*ROW(Log!B5:B404),14))=0,"",INDEX(Log!F:F,SUMPRODUCT(LARGE((Log!B5:B404="Yielding")*ROW(Log!B5:B404),14)))),"")</f>
        <v/>
      </c>
      <c r="G19" s="107" t="str">
        <f aca="false" t="array" ref="G19:G19">IFERROR(IF(SUMPRODUCT(LARGE((Log!B5:B404="Yielding")*ROW(Log!B5:B404),14))=0,"",INDEX(Log!D:D,SUMPRODUCT(LARGE((Log!B5:B404="Yielding")*ROW(Log!B5:B404),14)))),"")</f>
        <v/>
      </c>
    </row>
    <row r="20" customFormat="false" ht="15" hidden="false" customHeight="true" outlineLevel="0" collapsed="false">
      <c r="D20" s="105" t="str">
        <f aca="false" t="array" ref="D20:D20">IFERROR(IF(SUMPRODUCT(LARGE((Log!B5:B404="Yielding")*ROW(Log!B5:B404),15))=0,"",INDEX(Log!A:A,SUMPRODUCT(LARGE((Log!B5:B404="Yielding")*ROW(Log!B5:B404),15)))),"")</f>
        <v/>
      </c>
      <c r="E20" s="106" t="str">
        <f aca="false" t="array" ref="E20:E20">IFERROR(IF(SUMPRODUCT(LARGE((Log!B5:B404="Yielding")*ROW(Log!B5:B404),15))=0,"",INDEX(Log!E:E,SUMPRODUCT(LARGE((Log!B5:B404="Yielding")*ROW(Log!B5:B404),15)))),"")</f>
        <v/>
      </c>
      <c r="F20" s="106" t="str">
        <f aca="false" t="array" ref="F20:F20">IFERROR(IF(SUMPRODUCT(LARGE((Log!B5:B404="Yielding")*ROW(Log!B5:B404),15))=0,"",INDEX(Log!F:F,SUMPRODUCT(LARGE((Log!B5:B404="Yielding")*ROW(Log!B5:B404),15)))),"")</f>
        <v/>
      </c>
      <c r="G20" s="107" t="str">
        <f aca="false" t="array" ref="G20:G20">IFERROR(IF(SUMPRODUCT(LARGE((Log!B5:B404="Yielding")*ROW(Log!B5:B404),15))=0,"",INDEX(Log!D:D,SUMPRODUCT(LARGE((Log!B5:B404="Yielding")*ROW(Log!B5:B404),15)))),"")</f>
        <v/>
      </c>
    </row>
    <row r="21" customFormat="false" ht="15.75" hidden="false" customHeight="true" outlineLevel="0" collapsed="false">
      <c r="D21" s="105" t="str">
        <f aca="false" t="array" ref="D21:D21">IFERROR(IF(SUMPRODUCT(LARGE((Log!B5:B404="Yielding")*ROW(Log!B5:B404),16))=0,"",INDEX(Log!A:A,SUMPRODUCT(LARGE((Log!B5:B404="Yielding")*ROW(Log!B5:B404),16)))),"")</f>
        <v/>
      </c>
      <c r="E21" s="106" t="str">
        <f aca="false" t="array" ref="E21:E21">IFERROR(IF(SUMPRODUCT(LARGE((Log!B5:B404="Yielding")*ROW(Log!B5:B404),16))=0,"",INDEX(Log!E:E,SUMPRODUCT(LARGE((Log!B5:B404="Yielding")*ROW(Log!B5:B404),16)))),"")</f>
        <v/>
      </c>
      <c r="F21" s="106" t="str">
        <f aca="false" t="array" ref="F21:F21">IFERROR(IF(SUMPRODUCT(LARGE((Log!B5:B404="Yielding")*ROW(Log!B5:B404),16))=0,"",INDEX(Log!F:F,SUMPRODUCT(LARGE((Log!B5:B404="Yielding")*ROW(Log!B5:B404),16)))),"")</f>
        <v/>
      </c>
      <c r="G21" s="107" t="str">
        <f aca="false" t="array" ref="G21:G21">IFERROR(IF(SUMPRODUCT(LARGE((Log!B5:B404="Yielding")*ROW(Log!B5:B404),16))=0,"",INDEX(Log!D:D,SUMPRODUCT(LARGE((Log!B5:B404="Yielding")*ROW(Log!B5:B404),16)))),"")</f>
        <v/>
      </c>
    </row>
    <row r="22" customFormat="false" ht="15.75" hidden="false" customHeight="true" outlineLevel="0" collapsed="false">
      <c r="D22" s="105" t="str">
        <f aca="false" t="array" ref="D22:D22">IFERROR(IF(SUMPRODUCT(LARGE((Log!B5:B404="Yielding")*ROW(Log!B5:B404),17))=0,"",INDEX(Log!A:A,SUMPRODUCT(LARGE((Log!B5:B404="Yielding")*ROW(Log!B5:B404),17)))),"")</f>
        <v/>
      </c>
      <c r="E22" s="106" t="str">
        <f aca="false" t="array" ref="E22:E22">IFERROR(IF(SUMPRODUCT(LARGE((Log!B5:B404="Yielding")*ROW(Log!B5:B404),17))=0,"",INDEX(Log!E:E,SUMPRODUCT(LARGE((Log!B5:B404="Yielding")*ROW(Log!B5:B404),17)))),"")</f>
        <v/>
      </c>
      <c r="F22" s="106" t="str">
        <f aca="false" t="array" ref="F22:F22">IFERROR(IF(SUMPRODUCT(LARGE((Log!B5:B404="Yielding")*ROW(Log!B5:B404),17))=0,"",INDEX(Log!F:F,SUMPRODUCT(LARGE((Log!B5:B404="Yielding")*ROW(Log!B5:B404),17)))),"")</f>
        <v/>
      </c>
      <c r="G22" s="107" t="str">
        <f aca="false" t="array" ref="G22:G22">IFERROR(IF(SUMPRODUCT(LARGE((Log!B5:B404="Yielding")*ROW(Log!B5:B404),17))=0,"",INDEX(Log!D:D,SUMPRODUCT(LARGE((Log!B5:B404="Yielding")*ROW(Log!B5:B404),17)))),"")</f>
        <v/>
      </c>
    </row>
    <row r="23" customFormat="false" ht="15.75" hidden="false" customHeight="true" outlineLevel="0" collapsed="false">
      <c r="D23" s="105" t="str">
        <f aca="false" t="array" ref="D23:D23">IFERROR(IF(SUMPRODUCT(LARGE((Log!B5:B404="Yielding")*ROW(Log!B5:B404),18))=0,"",INDEX(Log!A:A,SUMPRODUCT(LARGE((Log!B5:B404="Yielding")*ROW(Log!B5:B404),18)))),"")</f>
        <v/>
      </c>
      <c r="E23" s="106" t="str">
        <f aca="false" t="array" ref="E23:E23">IFERROR(IF(SUMPRODUCT(LARGE((Log!B5:B404="Yielding")*ROW(Log!B5:B404),18))=0,"",INDEX(Log!E:E,SUMPRODUCT(LARGE((Log!B5:B404="Yielding")*ROW(Log!B5:B404),18)))),"")</f>
        <v/>
      </c>
      <c r="F23" s="106" t="str">
        <f aca="false" t="array" ref="F23:F23">IFERROR(IF(SUMPRODUCT(LARGE((Log!B5:B404="Yielding")*ROW(Log!B5:B404),18))=0,"",INDEX(Log!F:F,SUMPRODUCT(LARGE((Log!B5:B404="Yielding")*ROW(Log!B5:B404),18)))),"")</f>
        <v/>
      </c>
      <c r="G23" s="107" t="str">
        <f aca="false" t="array" ref="G23:G23">IFERROR(IF(SUMPRODUCT(LARGE((Log!B5:B404="Yielding")*ROW(Log!B5:B404),18))=0,"",INDEX(Log!D:D,SUMPRODUCT(LARGE((Log!B5:B404="Yielding")*ROW(Log!B5:B404),18)))),"")</f>
        <v/>
      </c>
    </row>
    <row r="24" customFormat="false" ht="15.75" hidden="false" customHeight="true" outlineLevel="0" collapsed="false">
      <c r="D24" s="105" t="str">
        <f aca="false" t="array" ref="D24:D24">IFERROR(IF(SUMPRODUCT(LARGE((Log!B5:B404="Yielding")*ROW(Log!B5:B404),19))=0,"",INDEX(Log!A:A,SUMPRODUCT(LARGE((Log!B5:B404="Yielding")*ROW(Log!B5:B404),19)))),"")</f>
        <v/>
      </c>
      <c r="E24" s="106" t="str">
        <f aca="false" t="array" ref="E24:E24">IFERROR(IF(SUMPRODUCT(LARGE((Log!B5:B404="Yielding")*ROW(Log!B5:B404),19))=0,"",INDEX(Log!E:E,SUMPRODUCT(LARGE((Log!B5:B404="Yielding")*ROW(Log!B5:B404),19)))),"")</f>
        <v/>
      </c>
      <c r="F24" s="106" t="str">
        <f aca="false" t="array" ref="F24:F24">IFERROR(IF(SUMPRODUCT(LARGE((Log!B5:B404="Yielding")*ROW(Log!B5:B404),19))=0,"",INDEX(Log!F:F,SUMPRODUCT(LARGE((Log!B5:B404="Yielding")*ROW(Log!B5:B404),19)))),"")</f>
        <v/>
      </c>
      <c r="G24" s="107" t="str">
        <f aca="false" t="array" ref="G24:G24">IFERROR(IF(SUMPRODUCT(LARGE((Log!B5:B404="Yielding")*ROW(Log!B5:B404),19))=0,"",INDEX(Log!D:D,SUMPRODUCT(LARGE((Log!B5:B404="Yielding")*ROW(Log!B5:B404),19)))),"")</f>
        <v/>
      </c>
    </row>
    <row r="25" customFormat="false" ht="15.75" hidden="false" customHeight="true" outlineLevel="0" collapsed="false">
      <c r="D25" s="105" t="str">
        <f aca="false" t="array" ref="D25:D25">IFERROR(IF(SUMPRODUCT(LARGE((Log!B5:B404="Yielding")*ROW(Log!B5:B404),20))=0,"",INDEX(Log!A:A,SUMPRODUCT(LARGE((Log!B5:B404="Yielding")*ROW(Log!B5:B404),20)))),"")</f>
        <v/>
      </c>
      <c r="E25" s="106" t="str">
        <f aca="false" t="array" ref="E25:E25">IFERROR(IF(SUMPRODUCT(LARGE((Log!B5:B404="Yielding")*ROW(Log!B5:B404),20))=0,"",INDEX(Log!E:E,SUMPRODUCT(LARGE((Log!B5:B404="Yielding")*ROW(Log!B5:B404),20)))),"")</f>
        <v/>
      </c>
      <c r="F25" s="106" t="str">
        <f aca="false" t="array" ref="F25:F25">IFERROR(IF(SUMPRODUCT(LARGE((Log!B5:B404="Yielding")*ROW(Log!B5:B404),20))=0,"",INDEX(Log!F:F,SUMPRODUCT(LARGE((Log!B5:B404="Yielding")*ROW(Log!B5:B404),20)))),"")</f>
        <v/>
      </c>
      <c r="G25" s="107" t="str">
        <f aca="false" t="array" ref="G25:G25">IFERROR(IF(SUMPRODUCT(LARGE((Log!B5:B404="Yielding")*ROW(Log!B5:B404),20))=0,"",INDEX(Log!D:D,SUMPRODUCT(LARGE((Log!B5:B404="Yielding")*ROW(Log!B5:B404),20)))),"")</f>
        <v/>
      </c>
    </row>
    <row r="26" customFormat="false" ht="15.75" hidden="false" customHeight="true" outlineLevel="0" collapsed="false">
      <c r="D26" s="105" t="str">
        <f aca="false" t="array" ref="D26:D26">IFERROR(IF(SUMPRODUCT(LARGE((Log!B5:B404="Yielding")*ROW(Log!B5:B404),21))=0,"",INDEX(Log!A:A,SUMPRODUCT(LARGE((Log!B5:B404="Yielding")*ROW(Log!B5:B404),21)))),"")</f>
        <v/>
      </c>
      <c r="E26" s="106" t="str">
        <f aca="false" t="array" ref="E26:E26">IFERROR(IF(SUMPRODUCT(LARGE((Log!B5:B404="Yielding")*ROW(Log!B5:B404),21))=0,"",INDEX(Log!E:E,SUMPRODUCT(LARGE((Log!B5:B404="Yielding")*ROW(Log!B5:B404),21)))),"")</f>
        <v/>
      </c>
      <c r="F26" s="106" t="str">
        <f aca="false" t="array" ref="F26:F26">IFERROR(IF(SUMPRODUCT(LARGE((Log!B5:B404="Yielding")*ROW(Log!B5:B404),21))=0,"",INDEX(Log!F:F,SUMPRODUCT(LARGE((Log!B5:B404="Yielding")*ROW(Log!B5:B404),21)))),"")</f>
        <v/>
      </c>
      <c r="G26" s="107" t="str">
        <f aca="false" t="array" ref="G26:G26">IFERROR(IF(SUMPRODUCT(LARGE((Log!B5:B404="Yielding")*ROW(Log!B5:B404),21))=0,"",INDEX(Log!D:D,SUMPRODUCT(LARGE((Log!B5:B404="Yielding")*ROW(Log!B5:B404),21)))),"")</f>
        <v/>
      </c>
    </row>
    <row r="27" customFormat="false" ht="15.75" hidden="false" customHeight="true" outlineLevel="0" collapsed="false">
      <c r="D27" s="105" t="str">
        <f aca="false" t="array" ref="D27:D27">IFERROR(IF(SUMPRODUCT(LARGE((Log!B5:B404="Yielding")*ROW(Log!B5:B404),22))=0,"",INDEX(Log!A:A,SUMPRODUCT(LARGE((Log!B5:B404="Yielding")*ROW(Log!B5:B404),22)))),"")</f>
        <v/>
      </c>
      <c r="E27" s="106" t="str">
        <f aca="false" t="array" ref="E27:E27">IFERROR(IF(SUMPRODUCT(LARGE((Log!B5:B404="Yielding")*ROW(Log!B5:B404),22))=0,"",INDEX(Log!E:E,SUMPRODUCT(LARGE((Log!B5:B404="Yielding")*ROW(Log!B5:B404),22)))),"")</f>
        <v/>
      </c>
      <c r="F27" s="106" t="str">
        <f aca="false" t="array" ref="F27:F27">IFERROR(IF(SUMPRODUCT(LARGE((Log!B5:B404="Yielding")*ROW(Log!B5:B404),22))=0,"",INDEX(Log!F:F,SUMPRODUCT(LARGE((Log!B5:B404="Yielding")*ROW(Log!B5:B404),22)))),"")</f>
        <v/>
      </c>
      <c r="G27" s="107" t="str">
        <f aca="false" t="array" ref="G27:G27">IFERROR(IF(SUMPRODUCT(LARGE((Log!B5:B404="Yielding")*ROW(Log!B5:B404),22))=0,"",INDEX(Log!D:D,SUMPRODUCT(LARGE((Log!B5:B404="Yielding")*ROW(Log!B5:B404),22)))),"")</f>
        <v/>
      </c>
    </row>
    <row r="28" customFormat="false" ht="15.75" hidden="false" customHeight="true" outlineLevel="0" collapsed="false">
      <c r="D28" s="105" t="str">
        <f aca="false" t="array" ref="D28:D28">IFERROR(IF(SUMPRODUCT(LARGE((Log!B5:B404="Yielding")*ROW(Log!B5:B404),23))=0,"",INDEX(Log!A:A,SUMPRODUCT(LARGE((Log!B5:B404="Yielding")*ROW(Log!B5:B404),23)))),"")</f>
        <v/>
      </c>
      <c r="E28" s="106" t="str">
        <f aca="false" t="array" ref="E28:E28">IFERROR(IF(SUMPRODUCT(LARGE((Log!B5:B404="Yielding")*ROW(Log!B5:B404),23))=0,"",INDEX(Log!E:E,SUMPRODUCT(LARGE((Log!B5:B404="Yielding")*ROW(Log!B5:B404),23)))),"")</f>
        <v/>
      </c>
      <c r="F28" s="106" t="str">
        <f aca="false" t="array" ref="F28:F28">IFERROR(IF(SUMPRODUCT(LARGE((Log!B5:B404="Yielding")*ROW(Log!B5:B404),23))=0,"",INDEX(Log!F:F,SUMPRODUCT(LARGE((Log!B5:B404="Yielding")*ROW(Log!B5:B404),23)))),"")</f>
        <v/>
      </c>
      <c r="G28" s="107" t="str">
        <f aca="false" t="array" ref="G28:G28">IFERROR(IF(SUMPRODUCT(LARGE((Log!B5:B404="Yielding")*ROW(Log!B5:B404),23))=0,"",INDEX(Log!D:D,SUMPRODUCT(LARGE((Log!B5:B404="Yielding")*ROW(Log!B5:B404),23)))),"")</f>
        <v/>
      </c>
    </row>
    <row r="29" customFormat="false" ht="15.75" hidden="false" customHeight="true" outlineLevel="0" collapsed="false">
      <c r="D29" s="105" t="str">
        <f aca="false" t="array" ref="D29:D29">IFERROR(IF(SUMPRODUCT(LARGE((Log!B5:B404="Yielding")*ROW(Log!B5:B404),24))=0,"",INDEX(Log!A:A,SUMPRODUCT(LARGE((Log!B5:B404="Yielding")*ROW(Log!B5:B404),24)))),"")</f>
        <v/>
      </c>
      <c r="E29" s="106" t="str">
        <f aca="false" t="array" ref="E29:E29">IFERROR(IF(SUMPRODUCT(LARGE((Log!B5:B404="Yielding")*ROW(Log!B5:B404),24))=0,"",INDEX(Log!E:E,SUMPRODUCT(LARGE((Log!B5:B404="Yielding")*ROW(Log!B5:B404),24)))),"")</f>
        <v/>
      </c>
      <c r="F29" s="106" t="str">
        <f aca="false" t="array" ref="F29:F29">IFERROR(IF(SUMPRODUCT(LARGE((Log!B5:B404="Yielding")*ROW(Log!B5:B404),24))=0,"",INDEX(Log!F:F,SUMPRODUCT(LARGE((Log!B5:B404="Yielding")*ROW(Log!B5:B404),24)))),"")</f>
        <v/>
      </c>
      <c r="G29" s="107" t="str">
        <f aca="false" t="array" ref="G29:G29">IFERROR(IF(SUMPRODUCT(LARGE((Log!B5:B404="Yielding")*ROW(Log!B5:B404),24))=0,"",INDEX(Log!D:D,SUMPRODUCT(LARGE((Log!B5:B404="Yielding")*ROW(Log!B5:B404),24)))),"")</f>
        <v/>
      </c>
    </row>
    <row r="30" customFormat="false" ht="15.75" hidden="false" customHeight="true" outlineLevel="0" collapsed="false">
      <c r="D30" s="105" t="str">
        <f aca="false" t="array" ref="D30:D30">IFERROR(IF(SUMPRODUCT(LARGE((Log!B5:B404="Yielding")*ROW(Log!B5:B404),25))=0,"",INDEX(Log!A:A,SUMPRODUCT(LARGE((Log!B5:B404="Yielding")*ROW(Log!B5:B404),25)))),"")</f>
        <v/>
      </c>
      <c r="E30" s="106" t="str">
        <f aca="false" t="array" ref="E30:E30">IFERROR(IF(SUMPRODUCT(LARGE((Log!B5:B404="Yielding")*ROW(Log!B5:B404),25))=0,"",INDEX(Log!E:E,SUMPRODUCT(LARGE((Log!B5:B404="Yielding")*ROW(Log!B5:B404),25)))),"")</f>
        <v/>
      </c>
      <c r="F30" s="106" t="str">
        <f aca="false" t="array" ref="F30:F30">IFERROR(IF(SUMPRODUCT(LARGE((Log!B5:B404="Yielding")*ROW(Log!B5:B404),25))=0,"",INDEX(Log!F:F,SUMPRODUCT(LARGE((Log!B5:B404="Yielding")*ROW(Log!B5:B404),25)))),"")</f>
        <v/>
      </c>
      <c r="G30" s="107" t="str">
        <f aca="false" t="array" ref="G30:G30">IFERROR(IF(SUMPRODUCT(LARGE((Log!B5:B404="Yielding")*ROW(Log!B5:B404),25))=0,"",INDEX(Log!D:D,SUMPRODUCT(LARGE((Log!B5:B404="Yielding")*ROW(Log!B5:B404),25)))),"")</f>
        <v/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E1"/>
    <mergeCell ref="A2:G2"/>
    <mergeCell ref="A4:B4"/>
    <mergeCell ref="D4:E4"/>
    <mergeCell ref="A17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5"/>
    <col collapsed="false" customWidth="true" hidden="false" outlineLevel="0" max="6" min="3" style="1" width="8.71"/>
  </cols>
  <sheetData>
    <row r="1" customFormat="false" ht="19.5" hidden="false" customHeight="true" outlineLevel="0" collapsed="false">
      <c r="A1" s="67" t="s">
        <v>413</v>
      </c>
      <c r="B1" s="67"/>
    </row>
    <row r="2" customFormat="false" ht="19.5" hidden="false" customHeight="true" outlineLevel="0" collapsed="false">
      <c r="A2" s="110" t="s">
        <v>414</v>
      </c>
      <c r="B2" s="110"/>
    </row>
    <row r="3" customFormat="false" ht="19.5" hidden="false" customHeight="true" outlineLevel="0" collapsed="false"/>
    <row r="4" customFormat="false" ht="19.5" hidden="false" customHeight="true" outlineLevel="0" collapsed="false">
      <c r="A4" s="102" t="s">
        <v>415</v>
      </c>
      <c r="B4" s="102"/>
    </row>
    <row r="5" customFormat="false" ht="19.5" hidden="false" customHeight="true" outlineLevel="0" collapsed="false">
      <c r="A5" s="71" t="s">
        <v>416</v>
      </c>
      <c r="B5" s="108" t="n">
        <v>67.5</v>
      </c>
    </row>
    <row r="6" customFormat="false" ht="19.5" hidden="false" customHeight="true" outlineLevel="0" collapsed="false">
      <c r="A6" s="71" t="s">
        <v>417</v>
      </c>
      <c r="B6" s="108" t="n">
        <v>172</v>
      </c>
    </row>
    <row r="7" customFormat="false" ht="19.5" hidden="false" customHeight="true" outlineLevel="0" collapsed="false">
      <c r="A7" s="71" t="s">
        <v>418</v>
      </c>
      <c r="B7" s="108" t="s">
        <v>419</v>
      </c>
    </row>
    <row r="8" customFormat="false" ht="19.5" hidden="false" customHeight="true" outlineLevel="0" collapsed="false">
      <c r="A8" s="71" t="s">
        <v>420</v>
      </c>
      <c r="B8" s="108" t="s">
        <v>421</v>
      </c>
    </row>
    <row r="9" customFormat="false" ht="19.5" hidden="false" customHeight="true" outlineLevel="0" collapsed="false">
      <c r="A9" s="71" t="s">
        <v>422</v>
      </c>
      <c r="B9" s="108" t="s">
        <v>423</v>
      </c>
    </row>
    <row r="10" customFormat="false" ht="19.5" hidden="false" customHeight="true" outlineLevel="0" collapsed="false">
      <c r="A10" s="71" t="s">
        <v>424</v>
      </c>
      <c r="B10" s="108" t="s">
        <v>425</v>
      </c>
    </row>
    <row r="11" customFormat="false" ht="19.5" hidden="false" customHeight="true" outlineLevel="0" collapsed="false">
      <c r="A11" s="71" t="s">
        <v>426</v>
      </c>
      <c r="B11" s="108" t="s">
        <v>427</v>
      </c>
    </row>
    <row r="12" customFormat="false" ht="19.5" hidden="false" customHeight="true" outlineLevel="0" collapsed="false">
      <c r="A12" s="71" t="s">
        <v>428</v>
      </c>
      <c r="B12" s="108" t="s">
        <v>429</v>
      </c>
    </row>
    <row r="13" customFormat="false" ht="19.5" hidden="false" customHeight="true" outlineLevel="0" collapsed="false">
      <c r="A13" s="71" t="s">
        <v>430</v>
      </c>
      <c r="B13" s="108" t="s">
        <v>431</v>
      </c>
    </row>
    <row r="14" customFormat="false" ht="19.5" hidden="false" customHeight="true" outlineLevel="0" collapsed="false">
      <c r="A14" s="71" t="s">
        <v>432</v>
      </c>
      <c r="B14" s="108" t="s">
        <v>10</v>
      </c>
    </row>
    <row r="15" customFormat="false" ht="19.5" hidden="false" customHeight="true" outlineLevel="0" collapsed="false">
      <c r="A15" s="111" t="s">
        <v>433</v>
      </c>
      <c r="B15" s="111"/>
    </row>
    <row r="16" customFormat="false" ht="19.5" hidden="false" customHeight="true" outlineLevel="0" collapsed="false"/>
    <row r="17" customFormat="false" ht="19.5" hidden="false" customHeight="true" outlineLevel="0" collapsed="false">
      <c r="A17" s="79" t="s">
        <v>434</v>
      </c>
      <c r="B17" s="5"/>
    </row>
    <row r="18" customFormat="false" ht="19.5" hidden="false" customHeight="true" outlineLevel="0" collapsed="false">
      <c r="A18" s="112" t="s">
        <v>289</v>
      </c>
      <c r="B18" s="71" t="s">
        <v>435</v>
      </c>
    </row>
    <row r="19" customFormat="false" ht="19.5" hidden="false" customHeight="true" outlineLevel="0" collapsed="false">
      <c r="A19" s="112" t="s">
        <v>291</v>
      </c>
      <c r="B19" s="71" t="s">
        <v>436</v>
      </c>
    </row>
    <row r="20" customFormat="false" ht="19.5" hidden="false" customHeight="true" outlineLevel="0" collapsed="false">
      <c r="A20" s="112" t="s">
        <v>296</v>
      </c>
      <c r="B20" s="71" t="s">
        <v>437</v>
      </c>
    </row>
    <row r="21" customFormat="false" ht="19.5" hidden="false" customHeight="true" outlineLevel="0" collapsed="false">
      <c r="A21" s="112" t="s">
        <v>299</v>
      </c>
      <c r="B21" s="71" t="s">
        <v>438</v>
      </c>
    </row>
    <row r="22" customFormat="false" ht="19.5" hidden="false" customHeight="true" outlineLevel="0" collapsed="false">
      <c r="A22" s="112" t="s">
        <v>303</v>
      </c>
      <c r="B22" s="71" t="s">
        <v>437</v>
      </c>
    </row>
    <row r="23" customFormat="false" ht="19.5" hidden="false" customHeight="true" outlineLevel="0" collapsed="false">
      <c r="A23" s="112" t="s">
        <v>304</v>
      </c>
      <c r="B23" s="71" t="s">
        <v>439</v>
      </c>
    </row>
    <row r="24" customFormat="false" ht="19.5" hidden="false" customHeight="true" outlineLevel="0" collapsed="false">
      <c r="A24" s="112" t="s">
        <v>308</v>
      </c>
      <c r="B24" s="71" t="s">
        <v>50</v>
      </c>
    </row>
    <row r="25" customFormat="false" ht="19.5" hidden="false" customHeight="true" outlineLevel="0" collapsed="false"/>
    <row r="26" customFormat="false" ht="19.5" hidden="false" customHeight="true" outlineLevel="0" collapsed="false">
      <c r="A26" s="79" t="s">
        <v>440</v>
      </c>
      <c r="B26" s="5"/>
    </row>
    <row r="27" customFormat="false" ht="19.5" hidden="false" customHeight="true" outlineLevel="0" collapsed="false">
      <c r="A27" s="112" t="s">
        <v>441</v>
      </c>
      <c r="B27" s="71" t="s">
        <v>442</v>
      </c>
    </row>
    <row r="28" customFormat="false" ht="19.5" hidden="false" customHeight="true" outlineLevel="0" collapsed="false">
      <c r="A28" s="6" t="s">
        <v>443</v>
      </c>
      <c r="B28" s="6"/>
    </row>
    <row r="29" customFormat="false" ht="19.5" hidden="false" customHeight="true" outlineLevel="0" collapsed="false">
      <c r="A29" s="112" t="s">
        <v>444</v>
      </c>
      <c r="B29" s="71" t="s">
        <v>445</v>
      </c>
    </row>
    <row r="30" customFormat="false" ht="19.5" hidden="false" customHeight="true" outlineLevel="0" collapsed="false">
      <c r="A30" s="112" t="s">
        <v>446</v>
      </c>
      <c r="B30" s="71" t="s">
        <v>447</v>
      </c>
    </row>
    <row r="31" customFormat="false" ht="19.5" hidden="false" customHeight="true" outlineLevel="0" collapsed="false">
      <c r="A31" s="112" t="s">
        <v>448</v>
      </c>
      <c r="B31" s="71" t="s">
        <v>449</v>
      </c>
    </row>
    <row r="32" customFormat="false" ht="19.5" hidden="false" customHeight="true" outlineLevel="0" collapsed="false">
      <c r="A32" s="112" t="s">
        <v>450</v>
      </c>
      <c r="B32" s="71" t="s">
        <v>451</v>
      </c>
    </row>
    <row r="33" customFormat="false" ht="19.5" hidden="false" customHeight="true" outlineLevel="0" collapsed="false">
      <c r="A33" s="112" t="s">
        <v>452</v>
      </c>
      <c r="B33" s="71" t="s">
        <v>453</v>
      </c>
    </row>
    <row r="34" customFormat="false" ht="19.5" hidden="false" customHeight="true" outlineLevel="0" collapsed="false">
      <c r="A34" s="24"/>
      <c r="B34" s="24"/>
    </row>
    <row r="35" customFormat="false" ht="19.5" hidden="false" customHeight="true" outlineLevel="0" collapsed="false">
      <c r="A35" s="79" t="s">
        <v>454</v>
      </c>
      <c r="B35" s="5"/>
    </row>
    <row r="36" customFormat="false" ht="45" hidden="false" customHeight="true" outlineLevel="0" collapsed="false">
      <c r="A36" s="113" t="s">
        <v>455</v>
      </c>
      <c r="B36" s="72" t="s">
        <v>456</v>
      </c>
    </row>
    <row r="37" customFormat="false" ht="45" hidden="false" customHeight="true" outlineLevel="0" collapsed="false">
      <c r="A37" s="113" t="s">
        <v>98</v>
      </c>
      <c r="B37" s="72" t="s">
        <v>457</v>
      </c>
    </row>
    <row r="38" customFormat="false" ht="45" hidden="false" customHeight="true" outlineLevel="0" collapsed="false">
      <c r="A38" s="113" t="s">
        <v>458</v>
      </c>
      <c r="B38" s="72" t="s">
        <v>459</v>
      </c>
    </row>
    <row r="39" customFormat="false" ht="45" hidden="false" customHeight="true" outlineLevel="0" collapsed="false">
      <c r="A39" s="113" t="s">
        <v>460</v>
      </c>
      <c r="B39" s="72" t="s">
        <v>461</v>
      </c>
    </row>
    <row r="40" customFormat="false" ht="45" hidden="false" customHeight="true" outlineLevel="0" collapsed="false">
      <c r="A40" s="113" t="s">
        <v>462</v>
      </c>
      <c r="B40" s="72" t="s">
        <v>463</v>
      </c>
    </row>
    <row r="41" customFormat="false" ht="45" hidden="false" customHeight="true" outlineLevel="0" collapsed="false">
      <c r="A41" s="113" t="s">
        <v>464</v>
      </c>
      <c r="B41" s="72" t="s">
        <v>465</v>
      </c>
    </row>
    <row r="42" customFormat="false" ht="15.75" hidden="false" customHeight="true" outlineLevel="0" collapsed="false"/>
    <row r="43" customFormat="false" ht="15.75" hidden="false" customHeight="true" outlineLevel="0" collapsed="false">
      <c r="A43" s="79" t="s">
        <v>466</v>
      </c>
      <c r="B43" s="5"/>
    </row>
    <row r="44" customFormat="false" ht="42" hidden="false" customHeight="true" outlineLevel="0" collapsed="false">
      <c r="A44" s="113" t="s">
        <v>467</v>
      </c>
      <c r="B44" s="72" t="s">
        <v>468</v>
      </c>
    </row>
    <row r="45" customFormat="false" ht="42" hidden="false" customHeight="true" outlineLevel="0" collapsed="false">
      <c r="A45" s="113" t="s">
        <v>469</v>
      </c>
      <c r="B45" s="72" t="s">
        <v>470</v>
      </c>
    </row>
    <row r="46" customFormat="false" ht="42" hidden="false" customHeight="true" outlineLevel="0" collapsed="false">
      <c r="A46" s="113" t="s">
        <v>471</v>
      </c>
      <c r="B46" s="72" t="s">
        <v>472</v>
      </c>
    </row>
    <row r="47" customFormat="false" ht="42" hidden="false" customHeight="true" outlineLevel="0" collapsed="false">
      <c r="A47" s="113" t="s">
        <v>473</v>
      </c>
      <c r="B47" s="72" t="s">
        <v>474</v>
      </c>
    </row>
    <row r="48" customFormat="false" ht="42" hidden="false" customHeight="true" outlineLevel="0" collapsed="false">
      <c r="A48" s="113" t="s">
        <v>475</v>
      </c>
      <c r="B48" s="72" t="s">
        <v>476</v>
      </c>
    </row>
    <row r="49" customFormat="false" ht="42" hidden="false" customHeight="true" outlineLevel="0" collapsed="false">
      <c r="A49" s="113" t="s">
        <v>477</v>
      </c>
      <c r="B49" s="72" t="s">
        <v>478</v>
      </c>
    </row>
    <row r="50" customFormat="false" ht="42" hidden="false" customHeight="true" outlineLevel="0" collapsed="false">
      <c r="A50" s="113" t="s">
        <v>479</v>
      </c>
      <c r="B50" s="72" t="s">
        <v>480</v>
      </c>
    </row>
    <row r="51" customFormat="false" ht="15.75" hidden="false" customHeight="true" outlineLevel="0" collapsed="false"/>
    <row r="52" customFormat="false" ht="15.75" hidden="false" customHeight="true" outlineLevel="0" collapsed="false">
      <c r="A52" s="79" t="s">
        <v>481</v>
      </c>
      <c r="B52" s="5"/>
    </row>
    <row r="53" customFormat="false" ht="34.5" hidden="false" customHeight="true" outlineLevel="0" collapsed="false">
      <c r="A53" s="113" t="s">
        <v>482</v>
      </c>
      <c r="B53" s="72" t="s">
        <v>483</v>
      </c>
    </row>
    <row r="54" customFormat="false" ht="34.5" hidden="false" customHeight="true" outlineLevel="0" collapsed="false">
      <c r="A54" s="113" t="s">
        <v>484</v>
      </c>
      <c r="B54" s="72" t="s">
        <v>485</v>
      </c>
    </row>
    <row r="55" customFormat="false" ht="34.5" hidden="false" customHeight="true" outlineLevel="0" collapsed="false">
      <c r="A55" s="113" t="s">
        <v>486</v>
      </c>
      <c r="B55" s="72" t="s">
        <v>487</v>
      </c>
    </row>
    <row r="56" customFormat="false" ht="34.5" hidden="false" customHeight="true" outlineLevel="0" collapsed="false">
      <c r="A56" s="113" t="s">
        <v>488</v>
      </c>
      <c r="B56" s="72" t="s">
        <v>489</v>
      </c>
    </row>
    <row r="57" customFormat="false" ht="34.5" hidden="false" customHeight="true" outlineLevel="0" collapsed="false">
      <c r="A57" s="113" t="s">
        <v>490</v>
      </c>
      <c r="B57" s="72" t="s">
        <v>491</v>
      </c>
    </row>
    <row r="58" customFormat="false" ht="15.75" hidden="false" customHeight="true" outlineLevel="0" collapsed="false"/>
    <row r="59" customFormat="false" ht="15.75" hidden="false" customHeight="true" outlineLevel="0" collapsed="false">
      <c r="A59" s="79" t="s">
        <v>492</v>
      </c>
      <c r="B59" s="5"/>
    </row>
    <row r="60" customFormat="false" ht="15.75" hidden="false" customHeight="true" outlineLevel="0" collapsed="false">
      <c r="A60" s="114" t="s">
        <v>493</v>
      </c>
      <c r="B60" s="71" t="s">
        <v>494</v>
      </c>
    </row>
    <row r="61" customFormat="false" ht="15.75" hidden="false" customHeight="true" outlineLevel="0" collapsed="false">
      <c r="A61" s="114" t="s">
        <v>493</v>
      </c>
      <c r="B61" s="71" t="s">
        <v>495</v>
      </c>
    </row>
    <row r="62" customFormat="false" ht="15.75" hidden="false" customHeight="true" outlineLevel="0" collapsed="false">
      <c r="A62" s="114" t="s">
        <v>493</v>
      </c>
      <c r="B62" s="71" t="s">
        <v>496</v>
      </c>
    </row>
    <row r="63" customFormat="false" ht="15.75" hidden="false" customHeight="true" outlineLevel="0" collapsed="false">
      <c r="A63" s="114" t="s">
        <v>493</v>
      </c>
      <c r="B63" s="71" t="s">
        <v>497</v>
      </c>
    </row>
    <row r="64" customFormat="false" ht="15.75" hidden="false" customHeight="true" outlineLevel="0" collapsed="false">
      <c r="A64" s="114" t="s">
        <v>493</v>
      </c>
      <c r="B64" s="71" t="s">
        <v>498</v>
      </c>
    </row>
    <row r="65" customFormat="false" ht="15.75" hidden="false" customHeight="true" outlineLevel="0" collapsed="false">
      <c r="A65" s="114" t="s">
        <v>493</v>
      </c>
      <c r="B65" s="71" t="s">
        <v>499</v>
      </c>
    </row>
    <row r="66" customFormat="false" ht="15.75" hidden="false" customHeight="true" outlineLevel="0" collapsed="false">
      <c r="A66" s="114" t="s">
        <v>493</v>
      </c>
      <c r="B66" s="71" t="s">
        <v>500</v>
      </c>
    </row>
    <row r="67" customFormat="false" ht="15.75" hidden="false" customHeight="true" outlineLevel="0" collapsed="false">
      <c r="A67" s="114" t="s">
        <v>493</v>
      </c>
      <c r="B67" s="71" t="s">
        <v>501</v>
      </c>
    </row>
    <row r="68" customFormat="false" ht="15.75" hidden="false" customHeight="true" outlineLevel="0" collapsed="false">
      <c r="A68" s="114" t="s">
        <v>493</v>
      </c>
      <c r="B68" s="71" t="s">
        <v>502</v>
      </c>
    </row>
    <row r="69" customFormat="false" ht="15.75" hidden="false" customHeight="true" outlineLevel="0" collapsed="false">
      <c r="A69" s="114" t="s">
        <v>493</v>
      </c>
      <c r="B69" s="71" t="s">
        <v>503</v>
      </c>
    </row>
    <row r="70" customFormat="false" ht="15.75" hidden="false" customHeight="true" outlineLevel="0" collapsed="false">
      <c r="A70" s="114" t="s">
        <v>493</v>
      </c>
      <c r="B70" s="71" t="s">
        <v>504</v>
      </c>
    </row>
    <row r="71" customFormat="false" ht="15.75" hidden="false" customHeight="true" outlineLevel="0" collapsed="false"/>
    <row r="72" customFormat="false" ht="15.75" hidden="false" customHeight="true" outlineLevel="0" collapsed="false">
      <c r="A72" s="79" t="s">
        <v>505</v>
      </c>
      <c r="B72" s="5"/>
    </row>
    <row r="73" customFormat="false" ht="15.75" hidden="false" customHeight="true" outlineLevel="0" collapsed="false">
      <c r="A73" s="112" t="s">
        <v>506</v>
      </c>
      <c r="B73" s="71" t="s">
        <v>507</v>
      </c>
    </row>
    <row r="74" customFormat="false" ht="27.75" hidden="false" customHeight="true" outlineLevel="0" collapsed="false">
      <c r="A74" s="112" t="s">
        <v>245</v>
      </c>
      <c r="B74" s="72" t="s">
        <v>508</v>
      </c>
    </row>
    <row r="75" customFormat="false" ht="27.75" hidden="false" customHeight="true" outlineLevel="0" collapsed="false">
      <c r="A75" s="112" t="s">
        <v>509</v>
      </c>
      <c r="B75" s="72" t="s">
        <v>510</v>
      </c>
    </row>
    <row r="76" customFormat="false" ht="15.75" hidden="false" customHeight="true" outlineLevel="0" collapsed="false"/>
    <row r="77" customFormat="false" ht="15.75" hidden="false" customHeight="true" outlineLevel="0" collapsed="false">
      <c r="A77" s="79" t="s">
        <v>511</v>
      </c>
      <c r="B77" s="5"/>
    </row>
    <row r="78" customFormat="false" ht="49.5" hidden="false" customHeight="true" outlineLevel="0" collapsed="false">
      <c r="A78" s="112" t="s">
        <v>512</v>
      </c>
      <c r="B78" s="72" t="s">
        <v>513</v>
      </c>
    </row>
    <row r="79" customFormat="false" ht="15.75" hidden="false" customHeight="true" outlineLevel="0" collapsed="false">
      <c r="A79" s="71" t="s">
        <v>514</v>
      </c>
      <c r="B79" s="71" t="s">
        <v>515</v>
      </c>
    </row>
    <row r="80" customFormat="false" ht="15.75" hidden="false" customHeight="true" outlineLevel="0" collapsed="false">
      <c r="A80" s="71" t="s">
        <v>516</v>
      </c>
      <c r="B80" s="71" t="s">
        <v>517</v>
      </c>
    </row>
    <row r="81" customFormat="false" ht="15.75" hidden="false" customHeight="true" outlineLevel="0" collapsed="false">
      <c r="A81" s="71" t="s">
        <v>518</v>
      </c>
      <c r="B81" s="71" t="s">
        <v>519</v>
      </c>
    </row>
    <row r="82" customFormat="false" ht="15.75" hidden="false" customHeight="true" outlineLevel="0" collapsed="false">
      <c r="A82" s="71" t="s">
        <v>520</v>
      </c>
      <c r="B82" s="71" t="s">
        <v>521</v>
      </c>
    </row>
    <row r="83" customFormat="false" ht="15.75" hidden="false" customHeight="true" outlineLevel="0" collapsed="false">
      <c r="A83" s="71" t="s">
        <v>522</v>
      </c>
      <c r="B83" s="71" t="s">
        <v>523</v>
      </c>
    </row>
    <row r="84" customFormat="false" ht="15.75" hidden="false" customHeight="true" outlineLevel="0" collapsed="false">
      <c r="A84" s="71" t="s">
        <v>524</v>
      </c>
      <c r="B84" s="71" t="s">
        <v>525</v>
      </c>
    </row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A1:B1"/>
    <mergeCell ref="A2:B2"/>
    <mergeCell ref="A4:B4"/>
    <mergeCell ref="A15:B15"/>
    <mergeCell ref="A28:B28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2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10" min="8" style="1" width="13"/>
    <col collapsed="false" customWidth="true" hidden="false" outlineLevel="0" max="11" min="11" style="1" width="4"/>
    <col collapsed="false" customWidth="true" hidden="false" outlineLevel="0" max="12" min="12" style="1" width="6"/>
    <col collapsed="false" customWidth="true" hidden="false" outlineLevel="0" max="15" min="13" style="1" width="12"/>
    <col collapsed="false" customWidth="true" hidden="false" outlineLevel="0" max="17" min="16" style="1" width="10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3"/>
  </cols>
  <sheetData>
    <row r="1" customFormat="false" ht="23.25" hidden="false" customHeight="true" outlineLevel="0" collapsed="false">
      <c r="A1" s="104" t="s">
        <v>526</v>
      </c>
      <c r="B1" s="56" t="s">
        <v>179</v>
      </c>
      <c r="C1" s="56" t="s">
        <v>401</v>
      </c>
      <c r="D1" s="56" t="s">
        <v>527</v>
      </c>
      <c r="E1" s="56" t="s">
        <v>400</v>
      </c>
      <c r="F1" s="56" t="s">
        <v>528</v>
      </c>
      <c r="G1" s="56" t="s">
        <v>529</v>
      </c>
      <c r="H1" s="56" t="s">
        <v>530</v>
      </c>
      <c r="I1" s="56" t="s">
        <v>531</v>
      </c>
      <c r="L1" s="104" t="s">
        <v>526</v>
      </c>
      <c r="M1" s="56" t="s">
        <v>179</v>
      </c>
      <c r="N1" s="56" t="s">
        <v>509</v>
      </c>
      <c r="O1" s="56" t="s">
        <v>532</v>
      </c>
      <c r="S1" s="104" t="s">
        <v>533</v>
      </c>
      <c r="T1" s="104" t="s">
        <v>534</v>
      </c>
    </row>
    <row r="2" customFormat="false" ht="15" hidden="false" customHeight="true" outlineLevel="0" collapsed="false">
      <c r="A2" s="115" t="n">
        <v>1</v>
      </c>
      <c r="B2" s="116" t="n">
        <f aca="false" t="array" ref="B2:B2">IFERROR(IF(SUMPRODUCT(LARGE((Log!B5:B404="Yielding")*ROW(Log!B5:B404),1))=0,"",INDEX(Log!A:A,SUMPRODUCT(LARGE((Log!B5:B404="Yielding")*ROW(Log!B5:B404),1)))),"")</f>
        <v>46173</v>
      </c>
      <c r="C2" s="117" t="str">
        <f aca="false" t="array" ref="C2:C2">IFERROR(IF(SUMPRODUCT(LARGE((Log!B5:B404="Yielding")*ROW(Log!B5:B404),1))=0,"",INDEX(Log!D:D,SUMPRODUCT(LARGE((Log!B5:B404="Yielding")*ROW(Log!B5:B404),1)))),"")</f>
        <v>Volume</v>
      </c>
      <c r="D2" s="118" t="n">
        <f aca="false" t="array" ref="D2:D2">IFERROR(IF(SUMPRODUCT(LARGE((Log!B5:B404="Yielding")*ROW(Log!B5:B404),1))=0,"",INDEX(Log!E:E,SUMPRODUCT(LARGE((Log!B5:B404="Yielding")*ROW(Log!B5:B404),1)))),"")</f>
        <v>20</v>
      </c>
      <c r="E2" s="118" t="n">
        <f aca="false" t="array" ref="E2:E2">IFERROR(IF(SUMPRODUCT(LARGE((Log!B5:B404="Yielding")*ROW(Log!B5:B404),1))=0,"",INDEX(Log!F:F,SUMPRODUCT(LARGE((Log!B5:B404="Yielding")*ROW(Log!B5:B404),1)))),"")</f>
        <v>7</v>
      </c>
      <c r="F2" s="118" t="n">
        <f aca="false" t="array" ref="F2:F2">IFERROR(IF(SUMPRODUCT(LARGE((Log!B5:B404="Yielding")*ROW(Log!B5:B404),1))=0,"",INDEX(Log!M:M,SUMPRODUCT(LARGE((Log!B5:B404="Yielding")*ROW(Log!B5:B404),1)))),"")</f>
        <v>24.4</v>
      </c>
      <c r="G2" s="118" t="str">
        <f aca="false">IF(AND(ISNUMBER(F2),OR(C2="Heavy",C2="Test")),F2,"")</f>
        <v/>
      </c>
      <c r="H2" s="118" t="n">
        <f aca="false">IF(AND(ISNUMBER(F2),C2="Volume"),F2,"")</f>
        <v>24.4</v>
      </c>
      <c r="I2" s="119" t="n">
        <f aca="false">IFERROR(IF(F2="","",D2/MAX($F$2:$F$51)*100),"")</f>
        <v>75.187969924812</v>
      </c>
      <c r="L2" s="115" t="n">
        <v>1</v>
      </c>
      <c r="M2" s="116" t="n">
        <f aca="false" t="array" ref="M2:M2">IFERROR(IF(SUMPRODUCT(LARGE((Log!J5:J404&lt;&gt;"")*ROW(Log!J5:J404),1))=0,"",INDEX(Log!A:A,SUMPRODUCT(LARGE((Log!J5:J404&lt;&gt;"")*ROW(Log!J5:J404),1)))),"")</f>
        <v>46173</v>
      </c>
      <c r="N2" s="118" t="n">
        <f aca="false" t="array" ref="N2:N2">IFERROR(IF(SUMPRODUCT(LARGE((Log!J5:J404&lt;&gt;"")*ROW(Log!J5:J404),1))=0,"",INDEX(Log!J:J,SUMPRODUCT(LARGE((Log!J5:J404&lt;&gt;"")*ROW(Log!J5:J404),1)))),"")</f>
        <v>3</v>
      </c>
      <c r="O2" s="120" t="n">
        <f aca="false">IFERROR(IF(COUNT(N2:N6)&lt;3,"",AVERAGE(N2:N6)),"")</f>
        <v>3.2</v>
      </c>
      <c r="S2" s="121" t="str">
        <f aca="false">IF(AND(ISNUMBER(I2),OR(C2="Heavy",C2="Test")),I2,"")</f>
        <v/>
      </c>
      <c r="T2" s="121" t="n">
        <f aca="false">IF(AND(ISNUMBER(I2),C2="Volume"),I2,"")</f>
        <v>75.187969924812</v>
      </c>
    </row>
    <row r="3" customFormat="false" ht="15" hidden="false" customHeight="true" outlineLevel="0" collapsed="false">
      <c r="A3" s="115" t="n">
        <v>2</v>
      </c>
      <c r="B3" s="116" t="n">
        <f aca="false" t="array" ref="B3:B3">IFERROR(IF(SUMPRODUCT(LARGE((Log!B5:B404="Yielding")*ROW(Log!B5:B404),2))=0,"",INDEX(Log!A:A,SUMPRODUCT(LARGE((Log!B5:B404="Yielding")*ROW(Log!B5:B404),2)))),"")</f>
        <v>46168</v>
      </c>
      <c r="C3" s="117" t="str">
        <f aca="false" t="array" ref="C3:C3">IFERROR(IF(SUMPRODUCT(LARGE((Log!B5:B404="Yielding")*ROW(Log!B5:B404),2))=0,"",INDEX(Log!D:D,SUMPRODUCT(LARGE((Log!B5:B404="Yielding")*ROW(Log!B5:B404),2)))),"")</f>
        <v>Heavy</v>
      </c>
      <c r="D3" s="118" t="n">
        <f aca="false" t="array" ref="D3:D3">IFERROR(IF(SUMPRODUCT(LARGE((Log!B5:B404="Yielding")*ROW(Log!B5:B404),2))=0,"",INDEX(Log!E:E,SUMPRODUCT(LARGE((Log!B5:B404="Yielding")*ROW(Log!B5:B404),2)))),"")</f>
        <v>25</v>
      </c>
      <c r="E3" s="118" t="n">
        <f aca="false" t="array" ref="E3:E3">IFERROR(IF(SUMPRODUCT(LARGE((Log!B5:B404="Yielding")*ROW(Log!B5:B404),2))=0,"",INDEX(Log!F:F,SUMPRODUCT(LARGE((Log!B5:B404="Yielding")*ROW(Log!B5:B404),2)))),"")</f>
        <v>9</v>
      </c>
      <c r="F3" s="118" t="n">
        <f aca="false" t="array" ref="F3:F3">IFERROR(IF(SUMPRODUCT(LARGE((Log!B5:B404="Yielding")*ROW(Log!B5:B404),2))=0,"",INDEX(Log!M:M,SUMPRODUCT(LARGE((Log!B5:B404="Yielding")*ROW(Log!B5:B404),2)))),"")</f>
        <v>26.6</v>
      </c>
      <c r="G3" s="118" t="n">
        <f aca="false">IF(AND(ISNUMBER(F3),OR(C3="Heavy",C3="Test")),F3,"")</f>
        <v>26.6</v>
      </c>
      <c r="H3" s="118" t="str">
        <f aca="false">IF(AND(ISNUMBER(F3),C3="Volume"),F3,"")</f>
        <v/>
      </c>
      <c r="I3" s="119" t="n">
        <f aca="false">IFERROR(IF(F3="","",D3/MAX($F$2:$F$51)*100),"")</f>
        <v>93.984962406015</v>
      </c>
      <c r="L3" s="115" t="n">
        <v>2</v>
      </c>
      <c r="M3" s="116" t="n">
        <f aca="false" t="array" ref="M3:M3">IFERROR(IF(SUMPRODUCT(LARGE((Log!J5:J404&lt;&gt;"")*ROW(Log!J5:J404),2))=0,"",INDEX(Log!A:A,SUMPRODUCT(LARGE((Log!J5:J404&lt;&gt;"")*ROW(Log!J5:J404),2)))),"")</f>
        <v>46170</v>
      </c>
      <c r="N3" s="118" t="n">
        <f aca="false" t="array" ref="N3:N3">IFERROR(IF(SUMPRODUCT(LARGE((Log!J5:J404&lt;&gt;"")*ROW(Log!J5:J404),2))=0,"",INDEX(Log!J:J,SUMPRODUCT(LARGE((Log!J5:J404&lt;&gt;"")*ROW(Log!J5:J404),2)))),"")</f>
        <v>3</v>
      </c>
      <c r="O3" s="120" t="n">
        <f aca="false">IFERROR(IF(COUNT(N3:N7)&lt;3,"",AVERAGE(N3:N7)),"")</f>
        <v>3.2</v>
      </c>
      <c r="S3" s="121" t="n">
        <f aca="false">IF(AND(ISNUMBER(I3),OR(C3="Heavy",C3="Test")),I3,"")</f>
        <v>93.984962406015</v>
      </c>
      <c r="T3" s="121" t="str">
        <f aca="false">IF(AND(ISNUMBER(I3),C3="Volume"),I3,"")</f>
        <v/>
      </c>
    </row>
    <row r="4" customFormat="false" ht="15" hidden="false" customHeight="true" outlineLevel="0" collapsed="false">
      <c r="A4" s="115" t="n">
        <v>3</v>
      </c>
      <c r="B4" s="116" t="n">
        <f aca="false" t="array" ref="B4:B4">IFERROR(IF(SUMPRODUCT(LARGE((Log!B5:B404="Yielding")*ROW(Log!B5:B404),3))=0,"",INDEX(Log!A:A,SUMPRODUCT(LARGE((Log!B5:B404="Yielding")*ROW(Log!B5:B404),3)))),"")</f>
        <v>46161</v>
      </c>
      <c r="C4" s="117" t="str">
        <f aca="false" t="array" ref="C4:C4">IFERROR(IF(SUMPRODUCT(LARGE((Log!B5:B404="Yielding")*ROW(Log!B5:B404),3))=0,"",INDEX(Log!D:D,SUMPRODUCT(LARGE((Log!B5:B404="Yielding")*ROW(Log!B5:B404),3)))),"")</f>
        <v>Heavy</v>
      </c>
      <c r="D4" s="118" t="n">
        <f aca="false" t="array" ref="D4:D4">IFERROR(IF(SUMPRODUCT(LARGE((Log!B5:B404="Yielding")*ROW(Log!B5:B404),3))=0,"",INDEX(Log!E:E,SUMPRODUCT(LARGE((Log!B5:B404="Yielding")*ROW(Log!B5:B404),3)))),"")</f>
        <v>25</v>
      </c>
      <c r="E4" s="118" t="n">
        <f aca="false" t="array" ref="E4:E4">IFERROR(IF(SUMPRODUCT(LARGE((Log!B5:B404="Yielding")*ROW(Log!B5:B404),3))=0,"",INDEX(Log!F:F,SUMPRODUCT(LARGE((Log!B5:B404="Yielding")*ROW(Log!B5:B404),3)))),"")</f>
        <v>10</v>
      </c>
      <c r="F4" s="118" t="n">
        <f aca="false" t="array" ref="F4:F4">IFERROR(IF(SUMPRODUCT(LARGE((Log!B5:B404="Yielding")*ROW(Log!B5:B404),3))=0,"",INDEX(Log!M:M,SUMPRODUCT(LARGE((Log!B5:B404="Yielding")*ROW(Log!B5:B404),3)))),"")</f>
        <v>25</v>
      </c>
      <c r="G4" s="118" t="n">
        <f aca="false">IF(AND(ISNUMBER(F4),OR(C4="Heavy",C4="Test")),F4,"")</f>
        <v>25</v>
      </c>
      <c r="H4" s="118" t="str">
        <f aca="false">IF(AND(ISNUMBER(F4),C4="Volume"),F4,"")</f>
        <v/>
      </c>
      <c r="I4" s="119" t="n">
        <f aca="false">IFERROR(IF(F4="","",D4/MAX($F$2:$F$51)*100),"")</f>
        <v>93.984962406015</v>
      </c>
      <c r="L4" s="115" t="n">
        <v>3</v>
      </c>
      <c r="M4" s="116" t="n">
        <f aca="false" t="array" ref="M4:M4">IFERROR(IF(SUMPRODUCT(LARGE((Log!J5:J404&lt;&gt;"")*ROW(Log!J5:J404),3))=0,"",INDEX(Log!A:A,SUMPRODUCT(LARGE((Log!J5:J404&lt;&gt;"")*ROW(Log!J5:J404),3)))),"")</f>
        <v>46168</v>
      </c>
      <c r="N4" s="118" t="n">
        <f aca="false" t="array" ref="N4:N4">IFERROR(IF(SUMPRODUCT(LARGE((Log!J5:J404&lt;&gt;"")*ROW(Log!J5:J404),3))=0,"",INDEX(Log!J:J,SUMPRODUCT(LARGE((Log!J5:J404&lt;&gt;"")*ROW(Log!J5:J404),3)))),"")</f>
        <v>4</v>
      </c>
      <c r="O4" s="120" t="n">
        <f aca="false">IFERROR(IF(COUNT(N4:N8)&lt;3,"",AVERAGE(N4:N8)),"")</f>
        <v>3.4</v>
      </c>
      <c r="S4" s="121" t="n">
        <f aca="false">IF(AND(ISNUMBER(I4),OR(C4="Heavy",C4="Test")),I4,"")</f>
        <v>93.984962406015</v>
      </c>
      <c r="T4" s="121" t="str">
        <f aca="false">IF(AND(ISNUMBER(I4),C4="Volume"),I4,"")</f>
        <v/>
      </c>
    </row>
    <row r="5" customFormat="false" ht="15" hidden="false" customHeight="true" outlineLevel="0" collapsed="false">
      <c r="A5" s="115" t="n">
        <v>4</v>
      </c>
      <c r="B5" s="116" t="n">
        <f aca="false" t="array" ref="B5:B5">IFERROR(IF(SUMPRODUCT(LARGE((Log!B5:B404="Yielding")*ROW(Log!B5:B404),4))=0,"",INDEX(Log!A:A,SUMPRODUCT(LARGE((Log!B5:B404="Yielding")*ROW(Log!B5:B404),4)))),"")</f>
        <v>46156</v>
      </c>
      <c r="C5" s="117" t="str">
        <f aca="false" t="array" ref="C5:C5">IFERROR(IF(SUMPRODUCT(LARGE((Log!B5:B404="Yielding")*ROW(Log!B5:B404),4))=0,"",INDEX(Log!D:D,SUMPRODUCT(LARGE((Log!B5:B404="Yielding")*ROW(Log!B5:B404),4)))),"")</f>
        <v>Volume</v>
      </c>
      <c r="D5" s="118" t="n">
        <f aca="false" t="array" ref="D5:D5">IFERROR(IF(SUMPRODUCT(LARGE((Log!B5:B404="Yielding")*ROW(Log!B5:B404),4))=0,"",INDEX(Log!E:E,SUMPRODUCT(LARGE((Log!B5:B404="Yielding")*ROW(Log!B5:B404),4)))),"")</f>
        <v>20</v>
      </c>
      <c r="E5" s="118" t="n">
        <f aca="false" t="array" ref="E5:E5">IFERROR(IF(SUMPRODUCT(LARGE((Log!B5:B404="Yielding")*ROW(Log!B5:B404),4))=0,"",INDEX(Log!F:F,SUMPRODUCT(LARGE((Log!B5:B404="Yielding")*ROW(Log!B5:B404),4)))),"")</f>
        <v>10</v>
      </c>
      <c r="F5" s="118" t="n">
        <f aca="false" t="array" ref="F5:F5">IFERROR(IF(SUMPRODUCT(LARGE((Log!B5:B404="Yielding")*ROW(Log!B5:B404),4))=0,"",INDEX(Log!M:M,SUMPRODUCT(LARGE((Log!B5:B404="Yielding")*ROW(Log!B5:B404),4)))),"")</f>
        <v>20</v>
      </c>
      <c r="G5" s="118" t="str">
        <f aca="false">IF(AND(ISNUMBER(F5),OR(C5="Heavy",C5="Test")),F5,"")</f>
        <v/>
      </c>
      <c r="H5" s="118" t="n">
        <f aca="false">IF(AND(ISNUMBER(F5),C5="Volume"),F5,"")</f>
        <v>20</v>
      </c>
      <c r="I5" s="119" t="n">
        <f aca="false">IFERROR(IF(F5="","",D5/MAX($F$2:$F$51)*100),"")</f>
        <v>75.187969924812</v>
      </c>
      <c r="L5" s="115" t="n">
        <v>4</v>
      </c>
      <c r="M5" s="116" t="n">
        <f aca="false" t="array" ref="M5:M5">IFERROR(IF(SUMPRODUCT(LARGE((Log!J5:J404&lt;&gt;"")*ROW(Log!J5:J404),4))=0,"",INDEX(Log!A:A,SUMPRODUCT(LARGE((Log!J5:J404&lt;&gt;"")*ROW(Log!J5:J404),4)))),"")</f>
        <v>46166</v>
      </c>
      <c r="N5" s="118" t="n">
        <f aca="false" t="array" ref="N5:N5">IFERROR(IF(SUMPRODUCT(LARGE((Log!J5:J404&lt;&gt;"")*ROW(Log!J5:J404),4))=0,"",INDEX(Log!J:J,SUMPRODUCT(LARGE((Log!J5:J404&lt;&gt;"")*ROW(Log!J5:J404),4)))),"")</f>
        <v>3</v>
      </c>
      <c r="O5" s="120" t="n">
        <f aca="false">IFERROR(IF(COUNT(N5:N9)&lt;3,"",AVERAGE(N5:N9)),"")</f>
        <v>3</v>
      </c>
      <c r="S5" s="121" t="str">
        <f aca="false">IF(AND(ISNUMBER(I5),OR(C5="Heavy",C5="Test")),I5,"")</f>
        <v/>
      </c>
      <c r="T5" s="121" t="n">
        <f aca="false">IF(AND(ISNUMBER(I5),C5="Volume"),I5,"")</f>
        <v>75.187969924812</v>
      </c>
    </row>
    <row r="6" customFormat="false" ht="15" hidden="false" customHeight="true" outlineLevel="0" collapsed="false">
      <c r="A6" s="115" t="n">
        <v>5</v>
      </c>
      <c r="B6" s="116" t="n">
        <f aca="false" t="array" ref="B6:B6">IFERROR(IF(SUMPRODUCT(LARGE((Log!B5:B404="Yielding")*ROW(Log!B5:B404),5))=0,"",INDEX(Log!A:A,SUMPRODUCT(LARGE((Log!B5:B404="Yielding")*ROW(Log!B5:B404),5)))),"")</f>
        <v>46154</v>
      </c>
      <c r="C6" s="117" t="str">
        <f aca="false" t="array" ref="C6:C6">IFERROR(IF(SUMPRODUCT(LARGE((Log!B5:B404="Yielding")*ROW(Log!B5:B404),5))=0,"",INDEX(Log!D:D,SUMPRODUCT(LARGE((Log!B5:B404="Yielding")*ROW(Log!B5:B404),5)))),"")</f>
        <v>Heavy</v>
      </c>
      <c r="D6" s="118" t="n">
        <f aca="false" t="array" ref="D6:D6">IFERROR(IF(SUMPRODUCT(LARGE((Log!B5:B404="Yielding")*ROW(Log!B5:B404),5))=0,"",INDEX(Log!E:E,SUMPRODUCT(LARGE((Log!B5:B404="Yielding")*ROW(Log!B5:B404),5)))),"")</f>
        <v>25</v>
      </c>
      <c r="E6" s="118" t="n">
        <f aca="false" t="array" ref="E6:E6">IFERROR(IF(SUMPRODUCT(LARGE((Log!B5:B404="Yielding")*ROW(Log!B5:B404),5))=0,"",INDEX(Log!F:F,SUMPRODUCT(LARGE((Log!B5:B404="Yielding")*ROW(Log!B5:B404),5)))),"")</f>
        <v>10</v>
      </c>
      <c r="F6" s="118" t="n">
        <f aca="false" t="array" ref="F6:F6">IFERROR(IF(SUMPRODUCT(LARGE((Log!B5:B404="Yielding")*ROW(Log!B5:B404),5))=0,"",INDEX(Log!M:M,SUMPRODUCT(LARGE((Log!B5:B404="Yielding")*ROW(Log!B5:B404),5)))),"")</f>
        <v>25</v>
      </c>
      <c r="G6" s="118" t="n">
        <f aca="false">IF(AND(ISNUMBER(F6),OR(C6="Heavy",C6="Test")),F6,"")</f>
        <v>25</v>
      </c>
      <c r="H6" s="118" t="str">
        <f aca="false">IF(AND(ISNUMBER(F6),C6="Volume"),F6,"")</f>
        <v/>
      </c>
      <c r="I6" s="119" t="n">
        <f aca="false">IFERROR(IF(F6="","",D6/MAX($F$2:$F$51)*100),"")</f>
        <v>93.984962406015</v>
      </c>
      <c r="L6" s="115" t="n">
        <v>5</v>
      </c>
      <c r="M6" s="116" t="n">
        <f aca="false" t="array" ref="M6:M6">IFERROR(IF(SUMPRODUCT(LARGE((Log!J5:J404&lt;&gt;"")*ROW(Log!J5:J404),5))=0,"",INDEX(Log!A:A,SUMPRODUCT(LARGE((Log!J5:J404&lt;&gt;"")*ROW(Log!J5:J404),5)))),"")</f>
        <v>46161</v>
      </c>
      <c r="N6" s="118" t="n">
        <f aca="false" t="array" ref="N6:N6">IFERROR(IF(SUMPRODUCT(LARGE((Log!J5:J404&lt;&gt;"")*ROW(Log!J5:J404),5))=0,"",INDEX(Log!J:J,SUMPRODUCT(LARGE((Log!J5:J404&lt;&gt;"")*ROW(Log!J5:J404),5)))),"")</f>
        <v>3</v>
      </c>
      <c r="O6" s="120" t="n">
        <f aca="false">IFERROR(IF(COUNT(N6:N10)&lt;3,"",AVERAGE(N6:N10)),"")</f>
        <v>3</v>
      </c>
      <c r="S6" s="121" t="n">
        <f aca="false">IF(AND(ISNUMBER(I6),OR(C6="Heavy",C6="Test")),I6,"")</f>
        <v>93.984962406015</v>
      </c>
      <c r="T6" s="121" t="str">
        <f aca="false">IF(AND(ISNUMBER(I6),C6="Volume"),I6,"")</f>
        <v/>
      </c>
    </row>
    <row r="7" customFormat="false" ht="15" hidden="false" customHeight="true" outlineLevel="0" collapsed="false">
      <c r="A7" s="115" t="n">
        <v>6</v>
      </c>
      <c r="B7" s="116" t="n">
        <f aca="false" t="array" ref="B7:B7">IFERROR(IF(SUMPRODUCT(LARGE((Log!B5:B404="Yielding")*ROW(Log!B5:B404),6))=0,"",INDEX(Log!A:A,SUMPRODUCT(LARGE((Log!B5:B404="Yielding")*ROW(Log!B5:B404),6)))),"")</f>
        <v>46146</v>
      </c>
      <c r="C7" s="117" t="n">
        <f aca="false">IFERROR(IF(SUMPRODUCT(LARGE((Log!B5:B404="Yielding")*ROW(Log!B5:B404),6))=0,"",INDEX(Log!D:D,SUMPRODUCT(LARGE((Log!B5:B404="Yielding")*ROW(Log!B5:B404),6)))),"")</f>
        <v>0</v>
      </c>
      <c r="D7" s="118" t="n">
        <f aca="false" t="array" ref="D7:D7">IFERROR(IF(SUMPRODUCT(LARGE((Log!B5:B404="Yielding")*ROW(Log!B5:B404),6))=0,"",INDEX(Log!E:E,SUMPRODUCT(LARGE((Log!B5:B404="Yielding")*ROW(Log!B5:B404),6)))),"")</f>
        <v>20</v>
      </c>
      <c r="E7" s="118" t="n">
        <f aca="false">IFERROR(IF(SUMPRODUCT(LARGE((Log!B5:B404="Yielding")*ROW(Log!B5:B404),6))=0,"",INDEX(Log!F:F,SUMPRODUCT(LARGE((Log!B5:B404="Yielding")*ROW(Log!B5:B404),6)))),"")</f>
        <v>0</v>
      </c>
      <c r="F7" s="118" t="str">
        <f aca="false" t="array" ref="F7:F7">IFERROR(IF(SUMPRODUCT(LARGE((Log!B5:B404="Yielding")*ROW(Log!B5:B404),6))=0,"",INDEX(Log!M:M,SUMPRODUCT(LARGE((Log!B5:B404="Yielding")*ROW(Log!B5:B404),6)))),"")</f>
        <v/>
      </c>
      <c r="G7" s="118" t="str">
        <f aca="false">IF(AND(ISNUMBER(F7),OR(C7="Heavy",C7="Test")),F7,"")</f>
        <v/>
      </c>
      <c r="H7" s="118" t="str">
        <f aca="false">IF(AND(ISNUMBER(F7),C7="Volume"),F7,"")</f>
        <v/>
      </c>
      <c r="I7" s="119" t="str">
        <f aca="false">IFERROR(IF(F7="","",D7/MAX($F$2:$F$51)*100),"")</f>
        <v/>
      </c>
      <c r="L7" s="115" t="n">
        <v>6</v>
      </c>
      <c r="M7" s="116" t="n">
        <f aca="false" t="array" ref="M7:M7">IFERROR(IF(SUMPRODUCT(LARGE((Log!J5:J404&lt;&gt;"")*ROW(Log!J5:J404),6))=0,"",INDEX(Log!A:A,SUMPRODUCT(LARGE((Log!J5:J404&lt;&gt;"")*ROW(Log!J5:J404),6)))),"")</f>
        <v>46158</v>
      </c>
      <c r="N7" s="118" t="n">
        <f aca="false" t="array" ref="N7:N7">IFERROR(IF(SUMPRODUCT(LARGE((Log!J5:J404&lt;&gt;"")*ROW(Log!J5:J404),6))=0,"",INDEX(Log!J:J,SUMPRODUCT(LARGE((Log!J5:J404&lt;&gt;"")*ROW(Log!J5:J404),6)))),"")</f>
        <v>3</v>
      </c>
      <c r="O7" s="120" t="n">
        <f aca="false">IFERROR(IF(COUNT(N7:N11)&lt;3,"",AVERAGE(N7:N11)),"")</f>
        <v>3</v>
      </c>
      <c r="S7" s="121" t="str">
        <f aca="false">IF(AND(ISNUMBER(I7),OR(C7="Heavy",C7="Test")),I7,"")</f>
        <v/>
      </c>
      <c r="T7" s="121" t="str">
        <f aca="false">IF(AND(ISNUMBER(I7),C7="Volume"),I7,"")</f>
        <v/>
      </c>
    </row>
    <row r="8" customFormat="false" ht="15" hidden="false" customHeight="true" outlineLevel="0" collapsed="false">
      <c r="A8" s="115" t="n">
        <v>7</v>
      </c>
      <c r="B8" s="116" t="n">
        <f aca="false" t="array" ref="B8:B8">IFERROR(IF(SUMPRODUCT(LARGE((Log!B5:B404="Yielding")*ROW(Log!B5:B404),7))=0,"",INDEX(Log!A:A,SUMPRODUCT(LARGE((Log!B5:B404="Yielding")*ROW(Log!B5:B404),7)))),"")</f>
        <v>46143</v>
      </c>
      <c r="C8" s="117" t="n">
        <f aca="false">IFERROR(IF(SUMPRODUCT(LARGE((Log!B5:B404="Yielding")*ROW(Log!B5:B404),7))=0,"",INDEX(Log!D:D,SUMPRODUCT(LARGE((Log!B5:B404="Yielding")*ROW(Log!B5:B404),7)))),"")</f>
        <v>0</v>
      </c>
      <c r="D8" s="118" t="n">
        <f aca="false" t="array" ref="D8:D8">IFERROR(IF(SUMPRODUCT(LARGE((Log!B5:B404="Yielding")*ROW(Log!B5:B404),7))=0,"",INDEX(Log!E:E,SUMPRODUCT(LARGE((Log!B5:B404="Yielding")*ROW(Log!B5:B404),7)))),"")</f>
        <v>15</v>
      </c>
      <c r="E8" s="118" t="n">
        <f aca="false">IFERROR(IF(SUMPRODUCT(LARGE((Log!B5:B404="Yielding")*ROW(Log!B5:B404),7))=0,"",INDEX(Log!F:F,SUMPRODUCT(LARGE((Log!B5:B404="Yielding")*ROW(Log!B5:B404),7)))),"")</f>
        <v>0</v>
      </c>
      <c r="F8" s="118" t="str">
        <f aca="false" t="array" ref="F8:F8">IFERROR(IF(SUMPRODUCT(LARGE((Log!B5:B404="Yielding")*ROW(Log!B5:B404),7))=0,"",INDEX(Log!M:M,SUMPRODUCT(LARGE((Log!B5:B404="Yielding")*ROW(Log!B5:B404),7)))),"")</f>
        <v/>
      </c>
      <c r="G8" s="118" t="str">
        <f aca="false">IF(AND(ISNUMBER(F8),OR(C8="Heavy",C8="Test")),F8,"")</f>
        <v/>
      </c>
      <c r="H8" s="118" t="str">
        <f aca="false">IF(AND(ISNUMBER(F8),C8="Volume"),F8,"")</f>
        <v/>
      </c>
      <c r="I8" s="119" t="str">
        <f aca="false">IFERROR(IF(F8="","",D8/MAX($F$2:$F$51)*100),"")</f>
        <v/>
      </c>
      <c r="L8" s="115" t="n">
        <v>7</v>
      </c>
      <c r="M8" s="116" t="n">
        <f aca="false" t="array" ref="M8:M8">IFERROR(IF(SUMPRODUCT(LARGE((Log!J5:J404&lt;&gt;"")*ROW(Log!J5:J404),7))=0,"",INDEX(Log!A:A,SUMPRODUCT(LARGE((Log!J5:J404&lt;&gt;"")*ROW(Log!J5:J404),7)))),"")</f>
        <v>46156</v>
      </c>
      <c r="N8" s="118" t="n">
        <f aca="false" t="array" ref="N8:N8">IFERROR(IF(SUMPRODUCT(LARGE((Log!J5:J404&lt;&gt;"")*ROW(Log!J5:J404),7))=0,"",INDEX(Log!J:J,SUMPRODUCT(LARGE((Log!J5:J404&lt;&gt;"")*ROW(Log!J5:J404),7)))),"")</f>
        <v>4</v>
      </c>
      <c r="O8" s="120" t="n">
        <f aca="false">IFERROR(IF(COUNT(N8:N12)&lt;3,"",AVERAGE(N8:N12)),"")</f>
        <v>2.8</v>
      </c>
      <c r="S8" s="121" t="str">
        <f aca="false">IF(AND(ISNUMBER(I8),OR(C8="Heavy",C8="Test")),I8,"")</f>
        <v/>
      </c>
      <c r="T8" s="121" t="str">
        <f aca="false">IF(AND(ISNUMBER(I8),C8="Volume"),I8,"")</f>
        <v/>
      </c>
    </row>
    <row r="9" customFormat="false" ht="15" hidden="false" customHeight="true" outlineLevel="0" collapsed="false">
      <c r="A9" s="115" t="n">
        <v>8</v>
      </c>
      <c r="B9" s="116" t="n">
        <f aca="false" t="array" ref="B9:B9">IFERROR(IF(SUMPRODUCT(LARGE((Log!B5:B404="Yielding")*ROW(Log!B5:B404),8))=0,"",INDEX(Log!A:A,SUMPRODUCT(LARGE((Log!B5:B404="Yielding")*ROW(Log!B5:B404),8)))),"")</f>
        <v>46134</v>
      </c>
      <c r="C9" s="117" t="n">
        <f aca="false">IFERROR(IF(SUMPRODUCT(LARGE((Log!B5:B404="Yielding")*ROW(Log!B5:B404),8))=0,"",INDEX(Log!D:D,SUMPRODUCT(LARGE((Log!B5:B404="Yielding")*ROW(Log!B5:B404),8)))),"")</f>
        <v>0</v>
      </c>
      <c r="D9" s="118" t="n">
        <f aca="false" t="array" ref="D9:D9">IFERROR(IF(SUMPRODUCT(LARGE((Log!B5:B404="Yielding")*ROW(Log!B5:B404),8))=0,"",INDEX(Log!E:E,SUMPRODUCT(LARGE((Log!B5:B404="Yielding")*ROW(Log!B5:B404),8)))),"")</f>
        <v>25</v>
      </c>
      <c r="E9" s="118" t="n">
        <f aca="false">IFERROR(IF(SUMPRODUCT(LARGE((Log!B5:B404="Yielding")*ROW(Log!B5:B404),8))=0,"",INDEX(Log!F:F,SUMPRODUCT(LARGE((Log!B5:B404="Yielding")*ROW(Log!B5:B404),8)))),"")</f>
        <v>0</v>
      </c>
      <c r="F9" s="118" t="str">
        <f aca="false" t="array" ref="F9:F9">IFERROR(IF(SUMPRODUCT(LARGE((Log!B5:B404="Yielding")*ROW(Log!B5:B404),8))=0,"",INDEX(Log!M:M,SUMPRODUCT(LARGE((Log!B5:B404="Yielding")*ROW(Log!B5:B404),8)))),"")</f>
        <v/>
      </c>
      <c r="G9" s="118" t="str">
        <f aca="false">IF(AND(ISNUMBER(F9),OR(C9="Heavy",C9="Test")),F9,"")</f>
        <v/>
      </c>
      <c r="H9" s="118" t="str">
        <f aca="false">IF(AND(ISNUMBER(F9),C9="Volume"),F9,"")</f>
        <v/>
      </c>
      <c r="I9" s="119" t="str">
        <f aca="false">IFERROR(IF(F9="","",D9/MAX($F$2:$F$51)*100),"")</f>
        <v/>
      </c>
      <c r="L9" s="115" t="n">
        <v>8</v>
      </c>
      <c r="M9" s="116" t="n">
        <f aca="false" t="array" ref="M9:M9">IFERROR(IF(SUMPRODUCT(LARGE((Log!J5:J404&lt;&gt;"")*ROW(Log!J5:J404),8))=0,"",INDEX(Log!A:A,SUMPRODUCT(LARGE((Log!J5:J404&lt;&gt;"")*ROW(Log!J5:J404),8)))),"")</f>
        <v>46154</v>
      </c>
      <c r="N9" s="118" t="n">
        <f aca="false" t="array" ref="N9:N9">IFERROR(IF(SUMPRODUCT(LARGE((Log!J5:J404&lt;&gt;"")*ROW(Log!J5:J404),8))=0,"",INDEX(Log!J:J,SUMPRODUCT(LARGE((Log!J5:J404&lt;&gt;"")*ROW(Log!J5:J404),8)))),"")</f>
        <v>2</v>
      </c>
      <c r="O9" s="120" t="n">
        <f aca="false">IFERROR(IF(COUNT(N9:N13)&lt;3,"",AVERAGE(N9:N13)),"")</f>
        <v>2.4</v>
      </c>
      <c r="S9" s="121" t="str">
        <f aca="false">IF(AND(ISNUMBER(I9),OR(C9="Heavy",C9="Test")),I9,"")</f>
        <v/>
      </c>
      <c r="T9" s="121" t="str">
        <f aca="false">IF(AND(ISNUMBER(I9),C9="Volume"),I9,"")</f>
        <v/>
      </c>
    </row>
    <row r="10" customFormat="false" ht="15" hidden="false" customHeight="true" outlineLevel="0" collapsed="false">
      <c r="A10" s="115" t="n">
        <v>9</v>
      </c>
      <c r="B10" s="116" t="n">
        <f aca="false" t="array" ref="B10:B10">IFERROR(IF(SUMPRODUCT(LARGE((Log!B5:B404="Yielding")*ROW(Log!B5:B404),9))=0,"",INDEX(Log!A:A,SUMPRODUCT(LARGE((Log!B5:B404="Yielding")*ROW(Log!B5:B404),9)))),"")</f>
        <v>46126</v>
      </c>
      <c r="C10" s="117" t="n">
        <f aca="false">IFERROR(IF(SUMPRODUCT(LARGE((Log!B5:B404="Yielding")*ROW(Log!B5:B404),9))=0,"",INDEX(Log!D:D,SUMPRODUCT(LARGE((Log!B5:B404="Yielding")*ROW(Log!B5:B404),9)))),"")</f>
        <v>0</v>
      </c>
      <c r="D10" s="118" t="n">
        <f aca="false" t="array" ref="D10:D10">IFERROR(IF(SUMPRODUCT(LARGE((Log!B5:B404="Yielding")*ROW(Log!B5:B404),9))=0,"",INDEX(Log!E:E,SUMPRODUCT(LARGE((Log!B5:B404="Yielding")*ROW(Log!B5:B404),9)))),"")</f>
        <v>20</v>
      </c>
      <c r="E10" s="118" t="n">
        <f aca="false">IFERROR(IF(SUMPRODUCT(LARGE((Log!B5:B404="Yielding")*ROW(Log!B5:B404),9))=0,"",INDEX(Log!F:F,SUMPRODUCT(LARGE((Log!B5:B404="Yielding")*ROW(Log!B5:B404),9)))),"")</f>
        <v>0</v>
      </c>
      <c r="F10" s="118" t="str">
        <f aca="false" t="array" ref="F10:F10">IFERROR(IF(SUMPRODUCT(LARGE((Log!B5:B404="Yielding")*ROW(Log!B5:B404),9))=0,"",INDEX(Log!M:M,SUMPRODUCT(LARGE((Log!B5:B404="Yielding")*ROW(Log!B5:B404),9)))),"")</f>
        <v/>
      </c>
      <c r="G10" s="118" t="str">
        <f aca="false">IF(AND(ISNUMBER(F10),OR(C10="Heavy",C10="Test")),F10,"")</f>
        <v/>
      </c>
      <c r="H10" s="118" t="str">
        <f aca="false">IF(AND(ISNUMBER(F10),C10="Volume"),F10,"")</f>
        <v/>
      </c>
      <c r="I10" s="119" t="str">
        <f aca="false">IFERROR(IF(F10="","",D10/MAX($F$2:$F$51)*100),"")</f>
        <v/>
      </c>
      <c r="L10" s="115" t="n">
        <v>9</v>
      </c>
      <c r="M10" s="116" t="n">
        <f aca="false" t="array" ref="M10:M10">IFERROR(IF(SUMPRODUCT(LARGE((Log!J5:J404&lt;&gt;"")*ROW(Log!J5:J404),9))=0,"",INDEX(Log!A:A,SUMPRODUCT(LARGE((Log!J5:J404&lt;&gt;"")*ROW(Log!J5:J404),9)))),"")</f>
        <v>46152</v>
      </c>
      <c r="N10" s="118" t="n">
        <f aca="false" t="array" ref="N10:N10">IFERROR(IF(SUMPRODUCT(LARGE((Log!J5:J404&lt;&gt;"")*ROW(Log!J5:J404),9))=0,"",INDEX(Log!J:J,SUMPRODUCT(LARGE((Log!J5:J404&lt;&gt;"")*ROW(Log!J5:J404),9)))),"")</f>
        <v>3</v>
      </c>
      <c r="O10" s="120" t="n">
        <f aca="false">IFERROR(IF(COUNT(N10:N14)&lt;3,"",AVERAGE(N10:N14)),"")</f>
        <v>2.4</v>
      </c>
      <c r="S10" s="121" t="str">
        <f aca="false">IF(AND(ISNUMBER(I10),OR(C10="Heavy",C10="Test")),I10,"")</f>
        <v/>
      </c>
      <c r="T10" s="121" t="str">
        <f aca="false">IF(AND(ISNUMBER(I10),C10="Volume"),I10,"")</f>
        <v/>
      </c>
    </row>
    <row r="11" customFormat="false" ht="15" hidden="false" customHeight="true" outlineLevel="0" collapsed="false">
      <c r="A11" s="115" t="n">
        <v>10</v>
      </c>
      <c r="B11" s="116" t="str">
        <f aca="false" t="array" ref="B11:B11">IFERROR(IF(SUMPRODUCT(LARGE((Log!B5:B404="Yielding")*ROW(Log!B5:B404),10))=0,"",INDEX(Log!A:A,SUMPRODUCT(LARGE((Log!B5:B404="Yielding")*ROW(Log!B5:B404),10)))),"")</f>
        <v/>
      </c>
      <c r="C11" s="117" t="str">
        <f aca="false" t="array" ref="C11:C11">IFERROR(IF(SUMPRODUCT(LARGE((Log!B5:B404="Yielding")*ROW(Log!B5:B404),10))=0,"",INDEX(Log!D:D,SUMPRODUCT(LARGE((Log!B5:B404="Yielding")*ROW(Log!B5:B404),10)))),"")</f>
        <v/>
      </c>
      <c r="D11" s="118" t="str">
        <f aca="false" t="array" ref="D11:D11">IFERROR(IF(SUMPRODUCT(LARGE((Log!B5:B404="Yielding")*ROW(Log!B5:B404),10))=0,"",INDEX(Log!E:E,SUMPRODUCT(LARGE((Log!B5:B404="Yielding")*ROW(Log!B5:B404),10)))),"")</f>
        <v/>
      </c>
      <c r="E11" s="118" t="str">
        <f aca="false" t="array" ref="E11:E11">IFERROR(IF(SUMPRODUCT(LARGE((Log!B5:B404="Yielding")*ROW(Log!B5:B404),10))=0,"",INDEX(Log!F:F,SUMPRODUCT(LARGE((Log!B5:B404="Yielding")*ROW(Log!B5:B404),10)))),"")</f>
        <v/>
      </c>
      <c r="F11" s="118" t="str">
        <f aca="false" t="array" ref="F11:F11">IFERROR(IF(SUMPRODUCT(LARGE((Log!B5:B404="Yielding")*ROW(Log!B5:B404),10))=0,"",INDEX(Log!M:M,SUMPRODUCT(LARGE((Log!B5:B404="Yielding")*ROW(Log!B5:B404),10)))),"")</f>
        <v/>
      </c>
      <c r="G11" s="118" t="str">
        <f aca="false">IF(AND(ISNUMBER(F11),OR(C11="Heavy",C11="Test")),F11,"")</f>
        <v/>
      </c>
      <c r="H11" s="118" t="str">
        <f aca="false">IF(AND(ISNUMBER(F11),C11="Volume"),F11,"")</f>
        <v/>
      </c>
      <c r="I11" s="119" t="str">
        <f aca="false">IFERROR(IF(F11="","",D11/MAX($F$2:$F$51)*100),"")</f>
        <v/>
      </c>
      <c r="L11" s="115" t="n">
        <v>10</v>
      </c>
      <c r="M11" s="116" t="n">
        <f aca="false" t="array" ref="M11:M11">IFERROR(IF(SUMPRODUCT(LARGE((Log!J5:J404&lt;&gt;"")*ROW(Log!J5:J404),10))=0,"",INDEX(Log!A:A,SUMPRODUCT(LARGE((Log!J5:J404&lt;&gt;"")*ROW(Log!J5:J404),10)))),"")</f>
        <v>46151</v>
      </c>
      <c r="N11" s="118" t="n">
        <f aca="false" t="array" ref="N11:N11">IFERROR(IF(SUMPRODUCT(LARGE((Log!J5:J404&lt;&gt;"")*ROW(Log!J5:J404),10))=0,"",INDEX(Log!J:J,SUMPRODUCT(LARGE((Log!J5:J404&lt;&gt;"")*ROW(Log!J5:J404),10)))),"")</f>
        <v>3</v>
      </c>
      <c r="O11" s="120" t="n">
        <f aca="false">IFERROR(IF(COUNT(N11:N15)&lt;3,"",AVERAGE(N11:N15)),"")</f>
        <v>2.4</v>
      </c>
      <c r="S11" s="121" t="str">
        <f aca="false">IF(AND(ISNUMBER(I11),OR(C11="Heavy",C11="Test")),I11,"")</f>
        <v/>
      </c>
      <c r="T11" s="121" t="str">
        <f aca="false">IF(AND(ISNUMBER(I11),C11="Volume"),I11,"")</f>
        <v/>
      </c>
    </row>
    <row r="12" customFormat="false" ht="15" hidden="false" customHeight="true" outlineLevel="0" collapsed="false">
      <c r="A12" s="115" t="n">
        <v>11</v>
      </c>
      <c r="B12" s="116" t="str">
        <f aca="false" t="array" ref="B12:B12">IFERROR(IF(SUMPRODUCT(LARGE((Log!B5:B404="Yielding")*ROW(Log!B5:B404),11))=0,"",INDEX(Log!A:A,SUMPRODUCT(LARGE((Log!B5:B404="Yielding")*ROW(Log!B5:B404),11)))),"")</f>
        <v/>
      </c>
      <c r="C12" s="117" t="str">
        <f aca="false" t="array" ref="C12:C12">IFERROR(IF(SUMPRODUCT(LARGE((Log!B5:B404="Yielding")*ROW(Log!B5:B404),11))=0,"",INDEX(Log!D:D,SUMPRODUCT(LARGE((Log!B5:B404="Yielding")*ROW(Log!B5:B404),11)))),"")</f>
        <v/>
      </c>
      <c r="D12" s="118" t="str">
        <f aca="false" t="array" ref="D12:D12">IFERROR(IF(SUMPRODUCT(LARGE((Log!B5:B404="Yielding")*ROW(Log!B5:B404),11))=0,"",INDEX(Log!E:E,SUMPRODUCT(LARGE((Log!B5:B404="Yielding")*ROW(Log!B5:B404),11)))),"")</f>
        <v/>
      </c>
      <c r="E12" s="118" t="str">
        <f aca="false" t="array" ref="E12:E12">IFERROR(IF(SUMPRODUCT(LARGE((Log!B5:B404="Yielding")*ROW(Log!B5:B404),11))=0,"",INDEX(Log!F:F,SUMPRODUCT(LARGE((Log!B5:B404="Yielding")*ROW(Log!B5:B404),11)))),"")</f>
        <v/>
      </c>
      <c r="F12" s="118" t="str">
        <f aca="false" t="array" ref="F12:F12">IFERROR(IF(SUMPRODUCT(LARGE((Log!B5:B404="Yielding")*ROW(Log!B5:B404),11))=0,"",INDEX(Log!M:M,SUMPRODUCT(LARGE((Log!B5:B404="Yielding")*ROW(Log!B5:B404),11)))),"")</f>
        <v/>
      </c>
      <c r="G12" s="118" t="str">
        <f aca="false">IF(AND(ISNUMBER(F12),OR(C12="Heavy",C12="Test")),F12,"")</f>
        <v/>
      </c>
      <c r="H12" s="118" t="str">
        <f aca="false">IF(AND(ISNUMBER(F12),C12="Volume"),F12,"")</f>
        <v/>
      </c>
      <c r="I12" s="119" t="str">
        <f aca="false">IFERROR(IF(F12="","",D12/MAX($F$2:$F$51)*100),"")</f>
        <v/>
      </c>
      <c r="L12" s="115" t="n">
        <v>11</v>
      </c>
      <c r="M12" s="116" t="n">
        <f aca="false" t="array" ref="M12:M12">IFERROR(IF(SUMPRODUCT(LARGE((Log!J5:J404&lt;&gt;"")*ROW(Log!J5:J404),11))=0,"",INDEX(Log!A:A,SUMPRODUCT(LARGE((Log!J5:J404&lt;&gt;"")*ROW(Log!J5:J404),11)))),"")</f>
        <v>46149</v>
      </c>
      <c r="N12" s="118" t="n">
        <f aca="false" t="array" ref="N12:N12">IFERROR(IF(SUMPRODUCT(LARGE((Log!J5:J404&lt;&gt;"")*ROW(Log!J5:J404),11))=0,"",INDEX(Log!J:J,SUMPRODUCT(LARGE((Log!J5:J404&lt;&gt;"")*ROW(Log!J5:J404),11)))),"")</f>
        <v>2</v>
      </c>
      <c r="O12" s="120" t="n">
        <f aca="false">IFERROR(IF(COUNT(N12:N16)&lt;3,"",AVERAGE(N12:N16)),"")</f>
        <v>2.2</v>
      </c>
      <c r="S12" s="121" t="str">
        <f aca="false">IF(AND(ISNUMBER(I12),OR(C12="Heavy",C12="Test")),I12,"")</f>
        <v/>
      </c>
      <c r="T12" s="121" t="str">
        <f aca="false">IF(AND(ISNUMBER(I12),C12="Volume"),I12,"")</f>
        <v/>
      </c>
    </row>
    <row r="13" customFormat="false" ht="15" hidden="false" customHeight="true" outlineLevel="0" collapsed="false">
      <c r="A13" s="115" t="n">
        <v>12</v>
      </c>
      <c r="B13" s="116" t="str">
        <f aca="false" t="array" ref="B13:B13">IFERROR(IF(SUMPRODUCT(LARGE((Log!B5:B404="Yielding")*ROW(Log!B5:B404),12))=0,"",INDEX(Log!A:A,SUMPRODUCT(LARGE((Log!B5:B404="Yielding")*ROW(Log!B5:B404),12)))),"")</f>
        <v/>
      </c>
      <c r="C13" s="117" t="str">
        <f aca="false" t="array" ref="C13:C13">IFERROR(IF(SUMPRODUCT(LARGE((Log!B5:B404="Yielding")*ROW(Log!B5:B404),12))=0,"",INDEX(Log!D:D,SUMPRODUCT(LARGE((Log!B5:B404="Yielding")*ROW(Log!B5:B404),12)))),"")</f>
        <v/>
      </c>
      <c r="D13" s="118" t="str">
        <f aca="false" t="array" ref="D13:D13">IFERROR(IF(SUMPRODUCT(LARGE((Log!B5:B404="Yielding")*ROW(Log!B5:B404),12))=0,"",INDEX(Log!E:E,SUMPRODUCT(LARGE((Log!B5:B404="Yielding")*ROW(Log!B5:B404),12)))),"")</f>
        <v/>
      </c>
      <c r="E13" s="118" t="str">
        <f aca="false" t="array" ref="E13:E13">IFERROR(IF(SUMPRODUCT(LARGE((Log!B5:B404="Yielding")*ROW(Log!B5:B404),12))=0,"",INDEX(Log!F:F,SUMPRODUCT(LARGE((Log!B5:B404="Yielding")*ROW(Log!B5:B404),12)))),"")</f>
        <v/>
      </c>
      <c r="F13" s="118" t="str">
        <f aca="false" t="array" ref="F13:F13">IFERROR(IF(SUMPRODUCT(LARGE((Log!B5:B404="Yielding")*ROW(Log!B5:B404),12))=0,"",INDEX(Log!M:M,SUMPRODUCT(LARGE((Log!B5:B404="Yielding")*ROW(Log!B5:B404),12)))),"")</f>
        <v/>
      </c>
      <c r="G13" s="118" t="str">
        <f aca="false">IF(AND(ISNUMBER(F13),OR(C13="Heavy",C13="Test")),F13,"")</f>
        <v/>
      </c>
      <c r="H13" s="118" t="str">
        <f aca="false">IF(AND(ISNUMBER(F13),C13="Volume"),F13,"")</f>
        <v/>
      </c>
      <c r="I13" s="119" t="str">
        <f aca="false">IFERROR(IF(F13="","",D13/MAX($F$2:$F$51)*100),"")</f>
        <v/>
      </c>
      <c r="L13" s="115" t="n">
        <v>12</v>
      </c>
      <c r="M13" s="116" t="n">
        <f aca="false" t="array" ref="M13:M13">IFERROR(IF(SUMPRODUCT(LARGE((Log!J5:J404&lt;&gt;"")*ROW(Log!J5:J404),12))=0,"",INDEX(Log!A:A,SUMPRODUCT(LARGE((Log!J5:J404&lt;&gt;"")*ROW(Log!J5:J404),12)))),"")</f>
        <v>46146</v>
      </c>
      <c r="N13" s="118" t="n">
        <f aca="false" t="array" ref="N13:N13">IFERROR(IF(SUMPRODUCT(LARGE((Log!J5:J404&lt;&gt;"")*ROW(Log!J5:J404),12))=0,"",INDEX(Log!J:J,SUMPRODUCT(LARGE((Log!J5:J404&lt;&gt;"")*ROW(Log!J5:J404),12)))),"")</f>
        <v>2</v>
      </c>
      <c r="O13" s="120" t="n">
        <f aca="false">IFERROR(IF(COUNT(N13:N17)&lt;3,"",AVERAGE(N13:N17)),"")</f>
        <v>2.2</v>
      </c>
      <c r="S13" s="121" t="str">
        <f aca="false">IF(AND(ISNUMBER(I13),OR(C13="Heavy",C13="Test")),I13,"")</f>
        <v/>
      </c>
      <c r="T13" s="121" t="str">
        <f aca="false">IF(AND(ISNUMBER(I13),C13="Volume"),I13,"")</f>
        <v/>
      </c>
    </row>
    <row r="14" customFormat="false" ht="15" hidden="false" customHeight="true" outlineLevel="0" collapsed="false">
      <c r="A14" s="115" t="n">
        <v>13</v>
      </c>
      <c r="B14" s="116" t="str">
        <f aca="false" t="array" ref="B14:B14">IFERROR(IF(SUMPRODUCT(LARGE((Log!B5:B404="Yielding")*ROW(Log!B5:B404),13))=0,"",INDEX(Log!A:A,SUMPRODUCT(LARGE((Log!B5:B404="Yielding")*ROW(Log!B5:B404),13)))),"")</f>
        <v/>
      </c>
      <c r="C14" s="117" t="str">
        <f aca="false" t="array" ref="C14:C14">IFERROR(IF(SUMPRODUCT(LARGE((Log!B5:B404="Yielding")*ROW(Log!B5:B404),13))=0,"",INDEX(Log!D:D,SUMPRODUCT(LARGE((Log!B5:B404="Yielding")*ROW(Log!B5:B404),13)))),"")</f>
        <v/>
      </c>
      <c r="D14" s="118" t="str">
        <f aca="false" t="array" ref="D14:D14">IFERROR(IF(SUMPRODUCT(LARGE((Log!B5:B404="Yielding")*ROW(Log!B5:B404),13))=0,"",INDEX(Log!E:E,SUMPRODUCT(LARGE((Log!B5:B404="Yielding")*ROW(Log!B5:B404),13)))),"")</f>
        <v/>
      </c>
      <c r="E14" s="118" t="str">
        <f aca="false" t="array" ref="E14:E14">IFERROR(IF(SUMPRODUCT(LARGE((Log!B5:B404="Yielding")*ROW(Log!B5:B404),13))=0,"",INDEX(Log!F:F,SUMPRODUCT(LARGE((Log!B5:B404="Yielding")*ROW(Log!B5:B404),13)))),"")</f>
        <v/>
      </c>
      <c r="F14" s="118" t="str">
        <f aca="false" t="array" ref="F14:F14">IFERROR(IF(SUMPRODUCT(LARGE((Log!B5:B404="Yielding")*ROW(Log!B5:B404),13))=0,"",INDEX(Log!M:M,SUMPRODUCT(LARGE((Log!B5:B404="Yielding")*ROW(Log!B5:B404),13)))),"")</f>
        <v/>
      </c>
      <c r="G14" s="118" t="str">
        <f aca="false">IF(AND(ISNUMBER(F14),OR(C14="Heavy",C14="Test")),F14,"")</f>
        <v/>
      </c>
      <c r="H14" s="118" t="str">
        <f aca="false">IF(AND(ISNUMBER(F14),C14="Volume"),F14,"")</f>
        <v/>
      </c>
      <c r="I14" s="119" t="str">
        <f aca="false">IFERROR(IF(F14="","",D14/MAX($F$2:$F$51)*100),"")</f>
        <v/>
      </c>
      <c r="L14" s="115" t="n">
        <v>13</v>
      </c>
      <c r="M14" s="116" t="n">
        <f aca="false" t="array" ref="M14:M14">IFERROR(IF(SUMPRODUCT(LARGE((Log!J5:J404&lt;&gt;"")*ROW(Log!J5:J404),13))=0,"",INDEX(Log!A:A,SUMPRODUCT(LARGE((Log!J5:J404&lt;&gt;"")*ROW(Log!J5:J404),13)))),"")</f>
        <v>46143</v>
      </c>
      <c r="N14" s="118" t="n">
        <f aca="false" t="array" ref="N14:N14">IFERROR(IF(SUMPRODUCT(LARGE((Log!J5:J404&lt;&gt;"")*ROW(Log!J5:J404),13))=0,"",INDEX(Log!J:J,SUMPRODUCT(LARGE((Log!J5:J404&lt;&gt;"")*ROW(Log!J5:J404),13)))),"")</f>
        <v>2</v>
      </c>
      <c r="O14" s="120" t="n">
        <f aca="false">IFERROR(IF(COUNT(N14:N18)&lt;3,"",AVERAGE(N14:N18)),"")</f>
        <v>2.4</v>
      </c>
      <c r="S14" s="121" t="str">
        <f aca="false">IF(AND(ISNUMBER(I14),OR(C14="Heavy",C14="Test")),I14,"")</f>
        <v/>
      </c>
      <c r="T14" s="121" t="str">
        <f aca="false">IF(AND(ISNUMBER(I14),C14="Volume"),I14,"")</f>
        <v/>
      </c>
    </row>
    <row r="15" customFormat="false" ht="15" hidden="false" customHeight="true" outlineLevel="0" collapsed="false">
      <c r="A15" s="115" t="n">
        <v>14</v>
      </c>
      <c r="B15" s="116" t="str">
        <f aca="false" t="array" ref="B15:B15">IFERROR(IF(SUMPRODUCT(LARGE((Log!B5:B404="Yielding")*ROW(Log!B5:B404),14))=0,"",INDEX(Log!A:A,SUMPRODUCT(LARGE((Log!B5:B404="Yielding")*ROW(Log!B5:B404),14)))),"")</f>
        <v/>
      </c>
      <c r="C15" s="117" t="str">
        <f aca="false" t="array" ref="C15:C15">IFERROR(IF(SUMPRODUCT(LARGE((Log!B5:B404="Yielding")*ROW(Log!B5:B404),14))=0,"",INDEX(Log!D:D,SUMPRODUCT(LARGE((Log!B5:B404="Yielding")*ROW(Log!B5:B404),14)))),"")</f>
        <v/>
      </c>
      <c r="D15" s="118" t="str">
        <f aca="false" t="array" ref="D15:D15">IFERROR(IF(SUMPRODUCT(LARGE((Log!B5:B404="Yielding")*ROW(Log!B5:B404),14))=0,"",INDEX(Log!E:E,SUMPRODUCT(LARGE((Log!B5:B404="Yielding")*ROW(Log!B5:B404),14)))),"")</f>
        <v/>
      </c>
      <c r="E15" s="118" t="str">
        <f aca="false" t="array" ref="E15:E15">IFERROR(IF(SUMPRODUCT(LARGE((Log!B5:B404="Yielding")*ROW(Log!B5:B404),14))=0,"",INDEX(Log!F:F,SUMPRODUCT(LARGE((Log!B5:B404="Yielding")*ROW(Log!B5:B404),14)))),"")</f>
        <v/>
      </c>
      <c r="F15" s="118" t="str">
        <f aca="false" t="array" ref="F15:F15">IFERROR(IF(SUMPRODUCT(LARGE((Log!B5:B404="Yielding")*ROW(Log!B5:B404),14))=0,"",INDEX(Log!M:M,SUMPRODUCT(LARGE((Log!B5:B404="Yielding")*ROW(Log!B5:B404),14)))),"")</f>
        <v/>
      </c>
      <c r="G15" s="118" t="str">
        <f aca="false">IF(AND(ISNUMBER(F15),OR(C15="Heavy",C15="Test")),F15,"")</f>
        <v/>
      </c>
      <c r="H15" s="118" t="str">
        <f aca="false">IF(AND(ISNUMBER(F15),C15="Volume"),F15,"")</f>
        <v/>
      </c>
      <c r="I15" s="119" t="str">
        <f aca="false">IFERROR(IF(F15="","",D15/MAX($F$2:$F$51)*100),"")</f>
        <v/>
      </c>
      <c r="L15" s="115" t="n">
        <v>14</v>
      </c>
      <c r="M15" s="116" t="n">
        <f aca="false" t="array" ref="M15:M15">IFERROR(IF(SUMPRODUCT(LARGE((Log!J5:J404&lt;&gt;"")*ROW(Log!J5:J404),14))=0,"",INDEX(Log!A:A,SUMPRODUCT(LARGE((Log!J5:J404&lt;&gt;"")*ROW(Log!J5:J404),14)))),"")</f>
        <v>46142</v>
      </c>
      <c r="N15" s="118" t="n">
        <f aca="false" t="array" ref="N15:N15">IFERROR(IF(SUMPRODUCT(LARGE((Log!J5:J404&lt;&gt;"")*ROW(Log!J5:J404),14))=0,"",INDEX(Log!J:J,SUMPRODUCT(LARGE((Log!J5:J404&lt;&gt;"")*ROW(Log!J5:J404),14)))),"")</f>
        <v>3</v>
      </c>
      <c r="O15" s="120" t="n">
        <f aca="false">IFERROR(IF(COUNT(N15:N19)&lt;3,"",AVERAGE(N15:N19)),"")</f>
        <v>2.4</v>
      </c>
      <c r="S15" s="121" t="str">
        <f aca="false">IF(AND(ISNUMBER(I15),OR(C15="Heavy",C15="Test")),I15,"")</f>
        <v/>
      </c>
      <c r="T15" s="121" t="str">
        <f aca="false">IF(AND(ISNUMBER(I15),C15="Volume"),I15,"")</f>
        <v/>
      </c>
    </row>
    <row r="16" customFormat="false" ht="15" hidden="false" customHeight="true" outlineLevel="0" collapsed="false">
      <c r="A16" s="115" t="n">
        <v>15</v>
      </c>
      <c r="B16" s="116" t="str">
        <f aca="false" t="array" ref="B16:B16">IFERROR(IF(SUMPRODUCT(LARGE((Log!B5:B404="Yielding")*ROW(Log!B5:B404),15))=0,"",INDEX(Log!A:A,SUMPRODUCT(LARGE((Log!B5:B404="Yielding")*ROW(Log!B5:B404),15)))),"")</f>
        <v/>
      </c>
      <c r="C16" s="117" t="str">
        <f aca="false" t="array" ref="C16:C16">IFERROR(IF(SUMPRODUCT(LARGE((Log!B5:B404="Yielding")*ROW(Log!B5:B404),15))=0,"",INDEX(Log!D:D,SUMPRODUCT(LARGE((Log!B5:B404="Yielding")*ROW(Log!B5:B404),15)))),"")</f>
        <v/>
      </c>
      <c r="D16" s="118" t="str">
        <f aca="false" t="array" ref="D16:D16">IFERROR(IF(SUMPRODUCT(LARGE((Log!B5:B404="Yielding")*ROW(Log!B5:B404),15))=0,"",INDEX(Log!E:E,SUMPRODUCT(LARGE((Log!B5:B404="Yielding")*ROW(Log!B5:B404),15)))),"")</f>
        <v/>
      </c>
      <c r="E16" s="118" t="str">
        <f aca="false" t="array" ref="E16:E16">IFERROR(IF(SUMPRODUCT(LARGE((Log!B5:B404="Yielding")*ROW(Log!B5:B404),15))=0,"",INDEX(Log!F:F,SUMPRODUCT(LARGE((Log!B5:B404="Yielding")*ROW(Log!B5:B404),15)))),"")</f>
        <v/>
      </c>
      <c r="F16" s="118" t="str">
        <f aca="false" t="array" ref="F16:F16">IFERROR(IF(SUMPRODUCT(LARGE((Log!B5:B404="Yielding")*ROW(Log!B5:B404),15))=0,"",INDEX(Log!M:M,SUMPRODUCT(LARGE((Log!B5:B404="Yielding")*ROW(Log!B5:B404),15)))),"")</f>
        <v/>
      </c>
      <c r="G16" s="118" t="str">
        <f aca="false">IF(AND(ISNUMBER(F16),OR(C16="Heavy",C16="Test")),F16,"")</f>
        <v/>
      </c>
      <c r="H16" s="118" t="str">
        <f aca="false">IF(AND(ISNUMBER(F16),C16="Volume"),F16,"")</f>
        <v/>
      </c>
      <c r="I16" s="119" t="str">
        <f aca="false">IFERROR(IF(F16="","",D16/MAX($F$2:$F$51)*100),"")</f>
        <v/>
      </c>
      <c r="L16" s="115" t="n">
        <v>15</v>
      </c>
      <c r="M16" s="116" t="n">
        <f aca="false" t="array" ref="M16:M16">IFERROR(IF(SUMPRODUCT(LARGE((Log!J5:J404&lt;&gt;"")*ROW(Log!J5:J404),15))=0,"",INDEX(Log!A:A,SUMPRODUCT(LARGE((Log!J5:J404&lt;&gt;"")*ROW(Log!J5:J404),15)))),"")</f>
        <v>46140</v>
      </c>
      <c r="N16" s="118" t="n">
        <f aca="false" t="array" ref="N16:N16">IFERROR(IF(SUMPRODUCT(LARGE((Log!J5:J404&lt;&gt;"")*ROW(Log!J5:J404),15))=0,"",INDEX(Log!J:J,SUMPRODUCT(LARGE((Log!J5:J404&lt;&gt;"")*ROW(Log!J5:J404),15)))),"")</f>
        <v>2</v>
      </c>
      <c r="O16" s="120" t="n">
        <f aca="false">IFERROR(IF(COUNT(N16:N20)&lt;3,"",AVERAGE(N16:N20)),"")</f>
        <v>2.4</v>
      </c>
      <c r="S16" s="121" t="str">
        <f aca="false">IF(AND(ISNUMBER(I16),OR(C16="Heavy",C16="Test")),I16,"")</f>
        <v/>
      </c>
      <c r="T16" s="121" t="str">
        <f aca="false">IF(AND(ISNUMBER(I16),C16="Volume"),I16,"")</f>
        <v/>
      </c>
    </row>
    <row r="17" customFormat="false" ht="15" hidden="false" customHeight="true" outlineLevel="0" collapsed="false">
      <c r="A17" s="115" t="n">
        <v>16</v>
      </c>
      <c r="B17" s="116" t="str">
        <f aca="false" t="array" ref="B17:B17">IFERROR(IF(SUMPRODUCT(LARGE((Log!B5:B404="Yielding")*ROW(Log!B5:B404),16))=0,"",INDEX(Log!A:A,SUMPRODUCT(LARGE((Log!B5:B404="Yielding")*ROW(Log!B5:B404),16)))),"")</f>
        <v/>
      </c>
      <c r="C17" s="117" t="str">
        <f aca="false" t="array" ref="C17:C17">IFERROR(IF(SUMPRODUCT(LARGE((Log!B5:B404="Yielding")*ROW(Log!B5:B404),16))=0,"",INDEX(Log!D:D,SUMPRODUCT(LARGE((Log!B5:B404="Yielding")*ROW(Log!B5:B404),16)))),"")</f>
        <v/>
      </c>
      <c r="D17" s="118" t="str">
        <f aca="false" t="array" ref="D17:D17">IFERROR(IF(SUMPRODUCT(LARGE((Log!B5:B404="Yielding")*ROW(Log!B5:B404),16))=0,"",INDEX(Log!E:E,SUMPRODUCT(LARGE((Log!B5:B404="Yielding")*ROW(Log!B5:B404),16)))),"")</f>
        <v/>
      </c>
      <c r="E17" s="118" t="str">
        <f aca="false" t="array" ref="E17:E17">IFERROR(IF(SUMPRODUCT(LARGE((Log!B5:B404="Yielding")*ROW(Log!B5:B404),16))=0,"",INDEX(Log!F:F,SUMPRODUCT(LARGE((Log!B5:B404="Yielding")*ROW(Log!B5:B404),16)))),"")</f>
        <v/>
      </c>
      <c r="F17" s="118" t="str">
        <f aca="false" t="array" ref="F17:F17">IFERROR(IF(SUMPRODUCT(LARGE((Log!B5:B404="Yielding")*ROW(Log!B5:B404),16))=0,"",INDEX(Log!M:M,SUMPRODUCT(LARGE((Log!B5:B404="Yielding")*ROW(Log!B5:B404),16)))),"")</f>
        <v/>
      </c>
      <c r="G17" s="118" t="str">
        <f aca="false">IF(AND(ISNUMBER(F17),OR(C17="Heavy",C17="Test")),F17,"")</f>
        <v/>
      </c>
      <c r="H17" s="118" t="str">
        <f aca="false">IF(AND(ISNUMBER(F17),C17="Volume"),F17,"")</f>
        <v/>
      </c>
      <c r="I17" s="119" t="str">
        <f aca="false">IFERROR(IF(F17="","",D17/MAX($F$2:$F$51)*100),"")</f>
        <v/>
      </c>
      <c r="L17" s="115" t="n">
        <v>16</v>
      </c>
      <c r="M17" s="116" t="n">
        <f aca="false" t="array" ref="M17:M17">IFERROR(IF(SUMPRODUCT(LARGE((Log!J5:J404&lt;&gt;"")*ROW(Log!J5:J404),16))=0,"",INDEX(Log!A:A,SUMPRODUCT(LARGE((Log!J5:J404&lt;&gt;"")*ROW(Log!J5:J404),16)))),"")</f>
        <v>46136</v>
      </c>
      <c r="N17" s="118" t="n">
        <f aca="false" t="array" ref="N17:N17">IFERROR(IF(SUMPRODUCT(LARGE((Log!J5:J404&lt;&gt;"")*ROW(Log!J5:J404),16))=0,"",INDEX(Log!J:J,SUMPRODUCT(LARGE((Log!J5:J404&lt;&gt;"")*ROW(Log!J5:J404),16)))),"")</f>
        <v>2</v>
      </c>
      <c r="O17" s="120" t="n">
        <f aca="false">IFERROR(IF(COUNT(N17:N21)&lt;3,"",AVERAGE(N17:N21)),"")</f>
        <v>2.5</v>
      </c>
      <c r="S17" s="121" t="str">
        <f aca="false">IF(AND(ISNUMBER(I17),OR(C17="Heavy",C17="Test")),I17,"")</f>
        <v/>
      </c>
      <c r="T17" s="121" t="str">
        <f aca="false">IF(AND(ISNUMBER(I17),C17="Volume"),I17,"")</f>
        <v/>
      </c>
    </row>
    <row r="18" customFormat="false" ht="15" hidden="false" customHeight="true" outlineLevel="0" collapsed="false">
      <c r="A18" s="115" t="n">
        <v>17</v>
      </c>
      <c r="B18" s="116" t="str">
        <f aca="false" t="array" ref="B18:B18">IFERROR(IF(SUMPRODUCT(LARGE((Log!B5:B404="Yielding")*ROW(Log!B5:B404),17))=0,"",INDEX(Log!A:A,SUMPRODUCT(LARGE((Log!B5:B404="Yielding")*ROW(Log!B5:B404),17)))),"")</f>
        <v/>
      </c>
      <c r="C18" s="117" t="str">
        <f aca="false" t="array" ref="C18:C18">IFERROR(IF(SUMPRODUCT(LARGE((Log!B5:B404="Yielding")*ROW(Log!B5:B404),17))=0,"",INDEX(Log!D:D,SUMPRODUCT(LARGE((Log!B5:B404="Yielding")*ROW(Log!B5:B404),17)))),"")</f>
        <v/>
      </c>
      <c r="D18" s="118" t="str">
        <f aca="false" t="array" ref="D18:D18">IFERROR(IF(SUMPRODUCT(LARGE((Log!B5:B404="Yielding")*ROW(Log!B5:B404),17))=0,"",INDEX(Log!E:E,SUMPRODUCT(LARGE((Log!B5:B404="Yielding")*ROW(Log!B5:B404),17)))),"")</f>
        <v/>
      </c>
      <c r="E18" s="118" t="str">
        <f aca="false" t="array" ref="E18:E18">IFERROR(IF(SUMPRODUCT(LARGE((Log!B5:B404="Yielding")*ROW(Log!B5:B404),17))=0,"",INDEX(Log!F:F,SUMPRODUCT(LARGE((Log!B5:B404="Yielding")*ROW(Log!B5:B404),17)))),"")</f>
        <v/>
      </c>
      <c r="F18" s="118" t="str">
        <f aca="false" t="array" ref="F18:F18">IFERROR(IF(SUMPRODUCT(LARGE((Log!B5:B404="Yielding")*ROW(Log!B5:B404),17))=0,"",INDEX(Log!M:M,SUMPRODUCT(LARGE((Log!B5:B404="Yielding")*ROW(Log!B5:B404),17)))),"")</f>
        <v/>
      </c>
      <c r="G18" s="118" t="str">
        <f aca="false">IF(AND(ISNUMBER(F18),OR(C18="Heavy",C18="Test")),F18,"")</f>
        <v/>
      </c>
      <c r="H18" s="118" t="str">
        <f aca="false">IF(AND(ISNUMBER(F18),C18="Volume"),F18,"")</f>
        <v/>
      </c>
      <c r="I18" s="119" t="str">
        <f aca="false">IFERROR(IF(F18="","",D18/MAX($F$2:$F$51)*100),"")</f>
        <v/>
      </c>
      <c r="L18" s="115" t="n">
        <v>17</v>
      </c>
      <c r="M18" s="116" t="n">
        <f aca="false" t="array" ref="M18:M18">IFERROR(IF(SUMPRODUCT(LARGE((Log!J5:J404&lt;&gt;"")*ROW(Log!J5:J404),17))=0,"",INDEX(Log!A:A,SUMPRODUCT(LARGE((Log!J5:J404&lt;&gt;"")*ROW(Log!J5:J404),17)))),"")</f>
        <v>46134</v>
      </c>
      <c r="N18" s="118" t="n">
        <f aca="false" t="array" ref="N18:N18">IFERROR(IF(SUMPRODUCT(LARGE((Log!J5:J404&lt;&gt;"")*ROW(Log!J5:J404),17))=0,"",INDEX(Log!J:J,SUMPRODUCT(LARGE((Log!J5:J404&lt;&gt;"")*ROW(Log!J5:J404),17)))),"")</f>
        <v>3</v>
      </c>
      <c r="O18" s="120" t="n">
        <f aca="false">IFERROR(IF(COUNT(N18:N22)&lt;3,"",AVERAGE(N18:N22)),"")</f>
        <v>2.66666666666667</v>
      </c>
      <c r="S18" s="121" t="str">
        <f aca="false">IF(AND(ISNUMBER(I18),OR(C18="Heavy",C18="Test")),I18,"")</f>
        <v/>
      </c>
      <c r="T18" s="121" t="str">
        <f aca="false">IF(AND(ISNUMBER(I18),C18="Volume"),I18,"")</f>
        <v/>
      </c>
    </row>
    <row r="19" customFormat="false" ht="15" hidden="false" customHeight="true" outlineLevel="0" collapsed="false">
      <c r="A19" s="115" t="n">
        <v>18</v>
      </c>
      <c r="B19" s="116" t="str">
        <f aca="false" t="array" ref="B19:B19">IFERROR(IF(SUMPRODUCT(LARGE((Log!B5:B404="Yielding")*ROW(Log!B5:B404),18))=0,"",INDEX(Log!A:A,SUMPRODUCT(LARGE((Log!B5:B404="Yielding")*ROW(Log!B5:B404),18)))),"")</f>
        <v/>
      </c>
      <c r="C19" s="117" t="str">
        <f aca="false" t="array" ref="C19:C19">IFERROR(IF(SUMPRODUCT(LARGE((Log!B5:B404="Yielding")*ROW(Log!B5:B404),18))=0,"",INDEX(Log!D:D,SUMPRODUCT(LARGE((Log!B5:B404="Yielding")*ROW(Log!B5:B404),18)))),"")</f>
        <v/>
      </c>
      <c r="D19" s="118" t="str">
        <f aca="false" t="array" ref="D19:D19">IFERROR(IF(SUMPRODUCT(LARGE((Log!B5:B404="Yielding")*ROW(Log!B5:B404),18))=0,"",INDEX(Log!E:E,SUMPRODUCT(LARGE((Log!B5:B404="Yielding")*ROW(Log!B5:B404),18)))),"")</f>
        <v/>
      </c>
      <c r="E19" s="118" t="str">
        <f aca="false" t="array" ref="E19:E19">IFERROR(IF(SUMPRODUCT(LARGE((Log!B5:B404="Yielding")*ROW(Log!B5:B404),18))=0,"",INDEX(Log!F:F,SUMPRODUCT(LARGE((Log!B5:B404="Yielding")*ROW(Log!B5:B404),18)))),"")</f>
        <v/>
      </c>
      <c r="F19" s="118" t="str">
        <f aca="false" t="array" ref="F19:F19">IFERROR(IF(SUMPRODUCT(LARGE((Log!B5:B404="Yielding")*ROW(Log!B5:B404),18))=0,"",INDEX(Log!M:M,SUMPRODUCT(LARGE((Log!B5:B404="Yielding")*ROW(Log!B5:B404),18)))),"")</f>
        <v/>
      </c>
      <c r="G19" s="118" t="str">
        <f aca="false">IF(AND(ISNUMBER(F19),OR(C19="Heavy",C19="Test")),F19,"")</f>
        <v/>
      </c>
      <c r="H19" s="118" t="str">
        <f aca="false">IF(AND(ISNUMBER(F19),C19="Volume"),F19,"")</f>
        <v/>
      </c>
      <c r="I19" s="119" t="str">
        <f aca="false">IFERROR(IF(F19="","",D19/MAX($F$2:$F$51)*100),"")</f>
        <v/>
      </c>
      <c r="L19" s="115" t="n">
        <v>18</v>
      </c>
      <c r="M19" s="116" t="n">
        <f aca="false" t="array" ref="M19:M19">IFERROR(IF(SUMPRODUCT(LARGE((Log!J5:J404&lt;&gt;"")*ROW(Log!J5:J404),18))=0,"",INDEX(Log!A:A,SUMPRODUCT(LARGE((Log!J5:J404&lt;&gt;"")*ROW(Log!J5:J404),18)))),"")</f>
        <v>46133</v>
      </c>
      <c r="N19" s="118" t="n">
        <f aca="false" t="array" ref="N19:N19">IFERROR(IF(SUMPRODUCT(LARGE((Log!J5:J404&lt;&gt;"")*ROW(Log!J5:J404),18))=0,"",INDEX(Log!J:J,SUMPRODUCT(LARGE((Log!J5:J404&lt;&gt;"")*ROW(Log!J5:J404),18)))),"")</f>
        <v>2</v>
      </c>
      <c r="O19" s="120" t="str">
        <f aca="false">IFERROR(IF(COUNT(N19:N23)&lt;3,"",AVERAGE(N19:N23)),"")</f>
        <v/>
      </c>
      <c r="S19" s="121" t="str">
        <f aca="false">IF(AND(ISNUMBER(I19),OR(C19="Heavy",C19="Test")),I19,"")</f>
        <v/>
      </c>
      <c r="T19" s="121" t="str">
        <f aca="false">IF(AND(ISNUMBER(I19),C19="Volume"),I19,"")</f>
        <v/>
      </c>
    </row>
    <row r="20" customFormat="false" ht="15" hidden="false" customHeight="true" outlineLevel="0" collapsed="false">
      <c r="A20" s="115" t="n">
        <v>19</v>
      </c>
      <c r="B20" s="116" t="str">
        <f aca="false" t="array" ref="B20:B20">IFERROR(IF(SUMPRODUCT(LARGE((Log!B5:B404="Yielding")*ROW(Log!B5:B404),19))=0,"",INDEX(Log!A:A,SUMPRODUCT(LARGE((Log!B5:B404="Yielding")*ROW(Log!B5:B404),19)))),"")</f>
        <v/>
      </c>
      <c r="C20" s="117" t="str">
        <f aca="false" t="array" ref="C20:C20">IFERROR(IF(SUMPRODUCT(LARGE((Log!B5:B404="Yielding")*ROW(Log!B5:B404),19))=0,"",INDEX(Log!D:D,SUMPRODUCT(LARGE((Log!B5:B404="Yielding")*ROW(Log!B5:B404),19)))),"")</f>
        <v/>
      </c>
      <c r="D20" s="118" t="str">
        <f aca="false" t="array" ref="D20:D20">IFERROR(IF(SUMPRODUCT(LARGE((Log!B5:B404="Yielding")*ROW(Log!B5:B404),19))=0,"",INDEX(Log!E:E,SUMPRODUCT(LARGE((Log!B5:B404="Yielding")*ROW(Log!B5:B404),19)))),"")</f>
        <v/>
      </c>
      <c r="E20" s="118" t="str">
        <f aca="false" t="array" ref="E20:E20">IFERROR(IF(SUMPRODUCT(LARGE((Log!B5:B404="Yielding")*ROW(Log!B5:B404),19))=0,"",INDEX(Log!F:F,SUMPRODUCT(LARGE((Log!B5:B404="Yielding")*ROW(Log!B5:B404),19)))),"")</f>
        <v/>
      </c>
      <c r="F20" s="118" t="str">
        <f aca="false" t="array" ref="F20:F20">IFERROR(IF(SUMPRODUCT(LARGE((Log!B5:B404="Yielding")*ROW(Log!B5:B404),19))=0,"",INDEX(Log!M:M,SUMPRODUCT(LARGE((Log!B5:B404="Yielding")*ROW(Log!B5:B404),19)))),"")</f>
        <v/>
      </c>
      <c r="G20" s="118" t="str">
        <f aca="false">IF(AND(ISNUMBER(F20),OR(C20="Heavy",C20="Test")),F20,"")</f>
        <v/>
      </c>
      <c r="H20" s="118" t="str">
        <f aca="false">IF(AND(ISNUMBER(F20),C20="Volume"),F20,"")</f>
        <v/>
      </c>
      <c r="I20" s="119" t="str">
        <f aca="false">IFERROR(IF(F20="","",D20/MAX($F$2:$F$51)*100),"")</f>
        <v/>
      </c>
      <c r="L20" s="115" t="n">
        <v>19</v>
      </c>
      <c r="M20" s="116" t="n">
        <f aca="false" t="array" ref="M20:M20">IFERROR(IF(SUMPRODUCT(LARGE((Log!J5:J404&lt;&gt;"")*ROW(Log!J5:J404),19))=0,"",INDEX(Log!A:A,SUMPRODUCT(LARGE((Log!J5:J404&lt;&gt;"")*ROW(Log!J5:J404),19)))),"")</f>
        <v>46126</v>
      </c>
      <c r="N20" s="118" t="n">
        <f aca="false" t="array" ref="N20:N20">IFERROR(IF(SUMPRODUCT(LARGE((Log!J5:J404&lt;&gt;"")*ROW(Log!J5:J404),19))=0,"",INDEX(Log!J:J,SUMPRODUCT(LARGE((Log!J5:J404&lt;&gt;"")*ROW(Log!J5:J404),19)))),"")</f>
        <v>3</v>
      </c>
      <c r="O20" s="120" t="str">
        <f aca="false">IFERROR(IF(COUNT(N20:N24)&lt;3,"",AVERAGE(N20:N24)),"")</f>
        <v/>
      </c>
      <c r="S20" s="121" t="str">
        <f aca="false">IF(AND(ISNUMBER(I20),OR(C20="Heavy",C20="Test")),I20,"")</f>
        <v/>
      </c>
      <c r="T20" s="121" t="str">
        <f aca="false">IF(AND(ISNUMBER(I20),C20="Volume"),I20,"")</f>
        <v/>
      </c>
    </row>
    <row r="21" customFormat="false" ht="15" hidden="false" customHeight="true" outlineLevel="0" collapsed="false">
      <c r="A21" s="115" t="n">
        <v>20</v>
      </c>
      <c r="B21" s="116" t="str">
        <f aca="false" t="array" ref="B21:B21">IFERROR(IF(SUMPRODUCT(LARGE((Log!B5:B404="Yielding")*ROW(Log!B5:B404),20))=0,"",INDEX(Log!A:A,SUMPRODUCT(LARGE((Log!B5:B404="Yielding")*ROW(Log!B5:B404),20)))),"")</f>
        <v/>
      </c>
      <c r="C21" s="117" t="str">
        <f aca="false" t="array" ref="C21:C21">IFERROR(IF(SUMPRODUCT(LARGE((Log!B5:B404="Yielding")*ROW(Log!B5:B404),20))=0,"",INDEX(Log!D:D,SUMPRODUCT(LARGE((Log!B5:B404="Yielding")*ROW(Log!B5:B404),20)))),"")</f>
        <v/>
      </c>
      <c r="D21" s="118" t="str">
        <f aca="false" t="array" ref="D21:D21">IFERROR(IF(SUMPRODUCT(LARGE((Log!B5:B404="Yielding")*ROW(Log!B5:B404),20))=0,"",INDEX(Log!E:E,SUMPRODUCT(LARGE((Log!B5:B404="Yielding")*ROW(Log!B5:B404),20)))),"")</f>
        <v/>
      </c>
      <c r="E21" s="118" t="str">
        <f aca="false" t="array" ref="E21:E21">IFERROR(IF(SUMPRODUCT(LARGE((Log!B5:B404="Yielding")*ROW(Log!B5:B404),20))=0,"",INDEX(Log!F:F,SUMPRODUCT(LARGE((Log!B5:B404="Yielding")*ROW(Log!B5:B404),20)))),"")</f>
        <v/>
      </c>
      <c r="F21" s="118" t="str">
        <f aca="false" t="array" ref="F21:F21">IFERROR(IF(SUMPRODUCT(LARGE((Log!B5:B404="Yielding")*ROW(Log!B5:B404),20))=0,"",INDEX(Log!M:M,SUMPRODUCT(LARGE((Log!B5:B404="Yielding")*ROW(Log!B5:B404),20)))),"")</f>
        <v/>
      </c>
      <c r="G21" s="118" t="str">
        <f aca="false">IF(AND(ISNUMBER(F21),OR(C21="Heavy",C21="Test")),F21,"")</f>
        <v/>
      </c>
      <c r="H21" s="118" t="str">
        <f aca="false">IF(AND(ISNUMBER(F21),C21="Volume"),F21,"")</f>
        <v/>
      </c>
      <c r="I21" s="119" t="str">
        <f aca="false">IFERROR(IF(F21="","",D21/MAX($F$2:$F$51)*100),"")</f>
        <v/>
      </c>
      <c r="L21" s="115" t="n">
        <v>20</v>
      </c>
      <c r="M21" s="116" t="str">
        <f aca="false" t="array" ref="M21:M21">IFERROR(IF(SUMPRODUCT(LARGE((Log!J5:J404&lt;&gt;"")*ROW(Log!J5:J404),20))=0,"",INDEX(Log!A:A,SUMPRODUCT(LARGE((Log!J5:J404&lt;&gt;"")*ROW(Log!J5:J404),20)))),"")</f>
        <v/>
      </c>
      <c r="N21" s="118" t="str">
        <f aca="false" t="array" ref="N21:N21">IFERROR(IF(SUMPRODUCT(LARGE((Log!J5:J404&lt;&gt;"")*ROW(Log!J5:J404),20))=0,"",INDEX(Log!J:J,SUMPRODUCT(LARGE((Log!J5:J404&lt;&gt;"")*ROW(Log!J5:J404),20)))),"")</f>
        <v/>
      </c>
      <c r="O21" s="120" t="str">
        <f aca="false">IFERROR(IF(COUNT(N21:N25)&lt;3,"",AVERAGE(N21:N25)),"")</f>
        <v/>
      </c>
      <c r="S21" s="121" t="str">
        <f aca="false">IF(AND(ISNUMBER(I21),OR(C21="Heavy",C21="Test")),I21,"")</f>
        <v/>
      </c>
      <c r="T21" s="121" t="str">
        <f aca="false">IF(AND(ISNUMBER(I21),C21="Volume"),I21,"")</f>
        <v/>
      </c>
    </row>
    <row r="22" customFormat="false" ht="15" hidden="false" customHeight="true" outlineLevel="0" collapsed="false">
      <c r="A22" s="115" t="n">
        <v>21</v>
      </c>
      <c r="B22" s="116" t="str">
        <f aca="false" t="array" ref="B22:B22">IFERROR(IF(SUMPRODUCT(LARGE((Log!B5:B404="Yielding")*ROW(Log!B5:B404),21))=0,"",INDEX(Log!A:A,SUMPRODUCT(LARGE((Log!B5:B404="Yielding")*ROW(Log!B5:B404),21)))),"")</f>
        <v/>
      </c>
      <c r="C22" s="117" t="str">
        <f aca="false" t="array" ref="C22:C22">IFERROR(IF(SUMPRODUCT(LARGE((Log!B5:B404="Yielding")*ROW(Log!B5:B404),21))=0,"",INDEX(Log!D:D,SUMPRODUCT(LARGE((Log!B5:B404="Yielding")*ROW(Log!B5:B404),21)))),"")</f>
        <v/>
      </c>
      <c r="D22" s="118" t="str">
        <f aca="false" t="array" ref="D22:D22">IFERROR(IF(SUMPRODUCT(LARGE((Log!B5:B404="Yielding")*ROW(Log!B5:B404),21))=0,"",INDEX(Log!E:E,SUMPRODUCT(LARGE((Log!B5:B404="Yielding")*ROW(Log!B5:B404),21)))),"")</f>
        <v/>
      </c>
      <c r="E22" s="118" t="str">
        <f aca="false" t="array" ref="E22:E22">IFERROR(IF(SUMPRODUCT(LARGE((Log!B5:B404="Yielding")*ROW(Log!B5:B404),21))=0,"",INDEX(Log!F:F,SUMPRODUCT(LARGE((Log!B5:B404="Yielding")*ROW(Log!B5:B404),21)))),"")</f>
        <v/>
      </c>
      <c r="F22" s="118" t="str">
        <f aca="false" t="array" ref="F22:F22">IFERROR(IF(SUMPRODUCT(LARGE((Log!B5:B404="Yielding")*ROW(Log!B5:B404),21))=0,"",INDEX(Log!M:M,SUMPRODUCT(LARGE((Log!B5:B404="Yielding")*ROW(Log!B5:B404),21)))),"")</f>
        <v/>
      </c>
      <c r="G22" s="118" t="str">
        <f aca="false">IF(AND(ISNUMBER(F22),OR(C22="Heavy",C22="Test")),F22,"")</f>
        <v/>
      </c>
      <c r="H22" s="118" t="str">
        <f aca="false">IF(AND(ISNUMBER(F22),C22="Volume"),F22,"")</f>
        <v/>
      </c>
      <c r="I22" s="119" t="str">
        <f aca="false">IFERROR(IF(F22="","",D22/MAX($F$2:$F$51)*100),"")</f>
        <v/>
      </c>
      <c r="L22" s="115" t="n">
        <v>21</v>
      </c>
      <c r="M22" s="116" t="str">
        <f aca="false" t="array" ref="M22:M22">IFERROR(IF(SUMPRODUCT(LARGE((Log!J5:J404&lt;&gt;"")*ROW(Log!J5:J404),21))=0,"",INDEX(Log!A:A,SUMPRODUCT(LARGE((Log!J5:J404&lt;&gt;"")*ROW(Log!J5:J404),21)))),"")</f>
        <v/>
      </c>
      <c r="N22" s="118" t="str">
        <f aca="false" t="array" ref="N22:N22">IFERROR(IF(SUMPRODUCT(LARGE((Log!J5:J404&lt;&gt;"")*ROW(Log!J5:J404),21))=0,"",INDEX(Log!J:J,SUMPRODUCT(LARGE((Log!J5:J404&lt;&gt;"")*ROW(Log!J5:J404),21)))),"")</f>
        <v/>
      </c>
      <c r="O22" s="120" t="str">
        <f aca="false">IFERROR(IF(COUNT(N22:N26)&lt;3,"",AVERAGE(N22:N26)),"")</f>
        <v/>
      </c>
      <c r="S22" s="121" t="str">
        <f aca="false">IF(AND(ISNUMBER(I22),OR(C22="Heavy",C22="Test")),I22,"")</f>
        <v/>
      </c>
      <c r="T22" s="121" t="str">
        <f aca="false">IF(AND(ISNUMBER(I22),C22="Volume"),I22,"")</f>
        <v/>
      </c>
    </row>
    <row r="23" customFormat="false" ht="15" hidden="false" customHeight="true" outlineLevel="0" collapsed="false">
      <c r="A23" s="115" t="n">
        <v>22</v>
      </c>
      <c r="B23" s="116" t="str">
        <f aca="false" t="array" ref="B23:B23">IFERROR(IF(SUMPRODUCT(LARGE((Log!B5:B404="Yielding")*ROW(Log!B5:B404),22))=0,"",INDEX(Log!A:A,SUMPRODUCT(LARGE((Log!B5:B404="Yielding")*ROW(Log!B5:B404),22)))),"")</f>
        <v/>
      </c>
      <c r="C23" s="117" t="str">
        <f aca="false" t="array" ref="C23:C23">IFERROR(IF(SUMPRODUCT(LARGE((Log!B5:B404="Yielding")*ROW(Log!B5:B404),22))=0,"",INDEX(Log!D:D,SUMPRODUCT(LARGE((Log!B5:B404="Yielding")*ROW(Log!B5:B404),22)))),"")</f>
        <v/>
      </c>
      <c r="D23" s="118" t="str">
        <f aca="false" t="array" ref="D23:D23">IFERROR(IF(SUMPRODUCT(LARGE((Log!B5:B404="Yielding")*ROW(Log!B5:B404),22))=0,"",INDEX(Log!E:E,SUMPRODUCT(LARGE((Log!B5:B404="Yielding")*ROW(Log!B5:B404),22)))),"")</f>
        <v/>
      </c>
      <c r="E23" s="118" t="str">
        <f aca="false" t="array" ref="E23:E23">IFERROR(IF(SUMPRODUCT(LARGE((Log!B5:B404="Yielding")*ROW(Log!B5:B404),22))=0,"",INDEX(Log!F:F,SUMPRODUCT(LARGE((Log!B5:B404="Yielding")*ROW(Log!B5:B404),22)))),"")</f>
        <v/>
      </c>
      <c r="F23" s="118" t="str">
        <f aca="false" t="array" ref="F23:F23">IFERROR(IF(SUMPRODUCT(LARGE((Log!B5:B404="Yielding")*ROW(Log!B5:B404),22))=0,"",INDEX(Log!M:M,SUMPRODUCT(LARGE((Log!B5:B404="Yielding")*ROW(Log!B5:B404),22)))),"")</f>
        <v/>
      </c>
      <c r="G23" s="118" t="str">
        <f aca="false">IF(AND(ISNUMBER(F23),OR(C23="Heavy",C23="Test")),F23,"")</f>
        <v/>
      </c>
      <c r="H23" s="118" t="str">
        <f aca="false">IF(AND(ISNUMBER(F23),C23="Volume"),F23,"")</f>
        <v/>
      </c>
      <c r="I23" s="119" t="str">
        <f aca="false">IFERROR(IF(F23="","",D23/MAX($F$2:$F$51)*100),"")</f>
        <v/>
      </c>
      <c r="L23" s="115" t="n">
        <v>22</v>
      </c>
      <c r="M23" s="116" t="str">
        <f aca="false" t="array" ref="M23:M23">IFERROR(IF(SUMPRODUCT(LARGE((Log!J5:J404&lt;&gt;"")*ROW(Log!J5:J404),22))=0,"",INDEX(Log!A:A,SUMPRODUCT(LARGE((Log!J5:J404&lt;&gt;"")*ROW(Log!J5:J404),22)))),"")</f>
        <v/>
      </c>
      <c r="N23" s="118" t="str">
        <f aca="false" t="array" ref="N23:N23">IFERROR(IF(SUMPRODUCT(LARGE((Log!J5:J404&lt;&gt;"")*ROW(Log!J5:J404),22))=0,"",INDEX(Log!J:J,SUMPRODUCT(LARGE((Log!J5:J404&lt;&gt;"")*ROW(Log!J5:J404),22)))),"")</f>
        <v/>
      </c>
      <c r="O23" s="120" t="str">
        <f aca="false">IFERROR(IF(COUNT(N23:N27)&lt;3,"",AVERAGE(N23:N27)),"")</f>
        <v/>
      </c>
      <c r="S23" s="121" t="str">
        <f aca="false">IF(AND(ISNUMBER(I23),OR(C23="Heavy",C23="Test")),I23,"")</f>
        <v/>
      </c>
      <c r="T23" s="121" t="str">
        <f aca="false">IF(AND(ISNUMBER(I23),C23="Volume"),I23,"")</f>
        <v/>
      </c>
    </row>
    <row r="24" customFormat="false" ht="15" hidden="false" customHeight="true" outlineLevel="0" collapsed="false">
      <c r="A24" s="115" t="n">
        <v>23</v>
      </c>
      <c r="B24" s="116" t="str">
        <f aca="false" t="array" ref="B24:B24">IFERROR(IF(SUMPRODUCT(LARGE((Log!B5:B404="Yielding")*ROW(Log!B5:B404),23))=0,"",INDEX(Log!A:A,SUMPRODUCT(LARGE((Log!B5:B404="Yielding")*ROW(Log!B5:B404),23)))),"")</f>
        <v/>
      </c>
      <c r="C24" s="117" t="str">
        <f aca="false" t="array" ref="C24:C24">IFERROR(IF(SUMPRODUCT(LARGE((Log!B5:B404="Yielding")*ROW(Log!B5:B404),23))=0,"",INDEX(Log!D:D,SUMPRODUCT(LARGE((Log!B5:B404="Yielding")*ROW(Log!B5:B404),23)))),"")</f>
        <v/>
      </c>
      <c r="D24" s="118" t="str">
        <f aca="false" t="array" ref="D24:D24">IFERROR(IF(SUMPRODUCT(LARGE((Log!B5:B404="Yielding")*ROW(Log!B5:B404),23))=0,"",INDEX(Log!E:E,SUMPRODUCT(LARGE((Log!B5:B404="Yielding")*ROW(Log!B5:B404),23)))),"")</f>
        <v/>
      </c>
      <c r="E24" s="118" t="str">
        <f aca="false" t="array" ref="E24:E24">IFERROR(IF(SUMPRODUCT(LARGE((Log!B5:B404="Yielding")*ROW(Log!B5:B404),23))=0,"",INDEX(Log!F:F,SUMPRODUCT(LARGE((Log!B5:B404="Yielding")*ROW(Log!B5:B404),23)))),"")</f>
        <v/>
      </c>
      <c r="F24" s="118" t="str">
        <f aca="false" t="array" ref="F24:F24">IFERROR(IF(SUMPRODUCT(LARGE((Log!B5:B404="Yielding")*ROW(Log!B5:B404),23))=0,"",INDEX(Log!M:M,SUMPRODUCT(LARGE((Log!B5:B404="Yielding")*ROW(Log!B5:B404),23)))),"")</f>
        <v/>
      </c>
      <c r="G24" s="118" t="str">
        <f aca="false">IF(AND(ISNUMBER(F24),OR(C24="Heavy",C24="Test")),F24,"")</f>
        <v/>
      </c>
      <c r="H24" s="118" t="str">
        <f aca="false">IF(AND(ISNUMBER(F24),C24="Volume"),F24,"")</f>
        <v/>
      </c>
      <c r="I24" s="119" t="str">
        <f aca="false">IFERROR(IF(F24="","",D24/MAX($F$2:$F$51)*100),"")</f>
        <v/>
      </c>
      <c r="L24" s="115" t="n">
        <v>23</v>
      </c>
      <c r="M24" s="116" t="str">
        <f aca="false" t="array" ref="M24:M24">IFERROR(IF(SUMPRODUCT(LARGE((Log!J5:J404&lt;&gt;"")*ROW(Log!J5:J404),23))=0,"",INDEX(Log!A:A,SUMPRODUCT(LARGE((Log!J5:J404&lt;&gt;"")*ROW(Log!J5:J404),23)))),"")</f>
        <v/>
      </c>
      <c r="N24" s="118" t="str">
        <f aca="false" t="array" ref="N24:N24">IFERROR(IF(SUMPRODUCT(LARGE((Log!J5:J404&lt;&gt;"")*ROW(Log!J5:J404),23))=0,"",INDEX(Log!J:J,SUMPRODUCT(LARGE((Log!J5:J404&lt;&gt;"")*ROW(Log!J5:J404),23)))),"")</f>
        <v/>
      </c>
      <c r="O24" s="120" t="str">
        <f aca="false">IFERROR(IF(COUNT(N24:N28)&lt;3,"",AVERAGE(N24:N28)),"")</f>
        <v/>
      </c>
      <c r="S24" s="121" t="str">
        <f aca="false">IF(AND(ISNUMBER(I24),OR(C24="Heavy",C24="Test")),I24,"")</f>
        <v/>
      </c>
      <c r="T24" s="121" t="str">
        <f aca="false">IF(AND(ISNUMBER(I24),C24="Volume"),I24,"")</f>
        <v/>
      </c>
    </row>
    <row r="25" customFormat="false" ht="15" hidden="false" customHeight="true" outlineLevel="0" collapsed="false">
      <c r="A25" s="115" t="n">
        <v>24</v>
      </c>
      <c r="B25" s="116" t="str">
        <f aca="false" t="array" ref="B25:B25">IFERROR(IF(SUMPRODUCT(LARGE((Log!B5:B404="Yielding")*ROW(Log!B5:B404),24))=0,"",INDEX(Log!A:A,SUMPRODUCT(LARGE((Log!B5:B404="Yielding")*ROW(Log!B5:B404),24)))),"")</f>
        <v/>
      </c>
      <c r="C25" s="117" t="str">
        <f aca="false" t="array" ref="C25:C25">IFERROR(IF(SUMPRODUCT(LARGE((Log!B5:B404="Yielding")*ROW(Log!B5:B404),24))=0,"",INDEX(Log!D:D,SUMPRODUCT(LARGE((Log!B5:B404="Yielding")*ROW(Log!B5:B404),24)))),"")</f>
        <v/>
      </c>
      <c r="D25" s="118" t="str">
        <f aca="false" t="array" ref="D25:D25">IFERROR(IF(SUMPRODUCT(LARGE((Log!B5:B404="Yielding")*ROW(Log!B5:B404),24))=0,"",INDEX(Log!E:E,SUMPRODUCT(LARGE((Log!B5:B404="Yielding")*ROW(Log!B5:B404),24)))),"")</f>
        <v/>
      </c>
      <c r="E25" s="118" t="str">
        <f aca="false" t="array" ref="E25:E25">IFERROR(IF(SUMPRODUCT(LARGE((Log!B5:B404="Yielding")*ROW(Log!B5:B404),24))=0,"",INDEX(Log!F:F,SUMPRODUCT(LARGE((Log!B5:B404="Yielding")*ROW(Log!B5:B404),24)))),"")</f>
        <v/>
      </c>
      <c r="F25" s="118" t="str">
        <f aca="false" t="array" ref="F25:F25">IFERROR(IF(SUMPRODUCT(LARGE((Log!B5:B404="Yielding")*ROW(Log!B5:B404),24))=0,"",INDEX(Log!M:M,SUMPRODUCT(LARGE((Log!B5:B404="Yielding")*ROW(Log!B5:B404),24)))),"")</f>
        <v/>
      </c>
      <c r="G25" s="118" t="str">
        <f aca="false">IF(AND(ISNUMBER(F25),OR(C25="Heavy",C25="Test")),F25,"")</f>
        <v/>
      </c>
      <c r="H25" s="118" t="str">
        <f aca="false">IF(AND(ISNUMBER(F25),C25="Volume"),F25,"")</f>
        <v/>
      </c>
      <c r="I25" s="119" t="str">
        <f aca="false">IFERROR(IF(F25="","",D25/MAX($F$2:$F$51)*100),"")</f>
        <v/>
      </c>
      <c r="L25" s="115" t="n">
        <v>24</v>
      </c>
      <c r="M25" s="116" t="str">
        <f aca="false" t="array" ref="M25:M25">IFERROR(IF(SUMPRODUCT(LARGE((Log!J5:J404&lt;&gt;"")*ROW(Log!J5:J404),24))=0,"",INDEX(Log!A:A,SUMPRODUCT(LARGE((Log!J5:J404&lt;&gt;"")*ROW(Log!J5:J404),24)))),"")</f>
        <v/>
      </c>
      <c r="N25" s="118" t="str">
        <f aca="false" t="array" ref="N25:N25">IFERROR(IF(SUMPRODUCT(LARGE((Log!J5:J404&lt;&gt;"")*ROW(Log!J5:J404),24))=0,"",INDEX(Log!J:J,SUMPRODUCT(LARGE((Log!J5:J404&lt;&gt;"")*ROW(Log!J5:J404),24)))),"")</f>
        <v/>
      </c>
      <c r="O25" s="120" t="str">
        <f aca="false">IFERROR(IF(COUNT(N25:N29)&lt;3,"",AVERAGE(N25:N29)),"")</f>
        <v/>
      </c>
      <c r="S25" s="121" t="str">
        <f aca="false">IF(AND(ISNUMBER(I25),OR(C25="Heavy",C25="Test")),I25,"")</f>
        <v/>
      </c>
      <c r="T25" s="121" t="str">
        <f aca="false">IF(AND(ISNUMBER(I25),C25="Volume"),I25,"")</f>
        <v/>
      </c>
    </row>
    <row r="26" customFormat="false" ht="15" hidden="false" customHeight="true" outlineLevel="0" collapsed="false">
      <c r="A26" s="115" t="n">
        <v>25</v>
      </c>
      <c r="B26" s="116" t="str">
        <f aca="false" t="array" ref="B26:B26">IFERROR(IF(SUMPRODUCT(LARGE((Log!B5:B404="Yielding")*ROW(Log!B5:B404),25))=0,"",INDEX(Log!A:A,SUMPRODUCT(LARGE((Log!B5:B404="Yielding")*ROW(Log!B5:B404),25)))),"")</f>
        <v/>
      </c>
      <c r="C26" s="117" t="str">
        <f aca="false" t="array" ref="C26:C26">IFERROR(IF(SUMPRODUCT(LARGE((Log!B5:B404="Yielding")*ROW(Log!B5:B404),25))=0,"",INDEX(Log!D:D,SUMPRODUCT(LARGE((Log!B5:B404="Yielding")*ROW(Log!B5:B404),25)))),"")</f>
        <v/>
      </c>
      <c r="D26" s="118" t="str">
        <f aca="false" t="array" ref="D26:D26">IFERROR(IF(SUMPRODUCT(LARGE((Log!B5:B404="Yielding")*ROW(Log!B5:B404),25))=0,"",INDEX(Log!E:E,SUMPRODUCT(LARGE((Log!B5:B404="Yielding")*ROW(Log!B5:B404),25)))),"")</f>
        <v/>
      </c>
      <c r="E26" s="118" t="str">
        <f aca="false" t="array" ref="E26:E26">IFERROR(IF(SUMPRODUCT(LARGE((Log!B5:B404="Yielding")*ROW(Log!B5:B404),25))=0,"",INDEX(Log!F:F,SUMPRODUCT(LARGE((Log!B5:B404="Yielding")*ROW(Log!B5:B404),25)))),"")</f>
        <v/>
      </c>
      <c r="F26" s="118" t="str">
        <f aca="false" t="array" ref="F26:F26">IFERROR(IF(SUMPRODUCT(LARGE((Log!B5:B404="Yielding")*ROW(Log!B5:B404),25))=0,"",INDEX(Log!M:M,SUMPRODUCT(LARGE((Log!B5:B404="Yielding")*ROW(Log!B5:B404),25)))),"")</f>
        <v/>
      </c>
      <c r="G26" s="118" t="str">
        <f aca="false">IF(AND(ISNUMBER(F26),OR(C26="Heavy",C26="Test")),F26,"")</f>
        <v/>
      </c>
      <c r="H26" s="118" t="str">
        <f aca="false">IF(AND(ISNUMBER(F26),C26="Volume"),F26,"")</f>
        <v/>
      </c>
      <c r="I26" s="119" t="str">
        <f aca="false">IFERROR(IF(F26="","",D26/MAX($F$2:$F$51)*100),"")</f>
        <v/>
      </c>
      <c r="L26" s="115" t="n">
        <v>25</v>
      </c>
      <c r="M26" s="116" t="str">
        <f aca="false" t="array" ref="M26:M26">IFERROR(IF(SUMPRODUCT(LARGE((Log!J5:J404&lt;&gt;"")*ROW(Log!J5:J404),25))=0,"",INDEX(Log!A:A,SUMPRODUCT(LARGE((Log!J5:J404&lt;&gt;"")*ROW(Log!J5:J404),25)))),"")</f>
        <v/>
      </c>
      <c r="N26" s="118" t="str">
        <f aca="false" t="array" ref="N26:N26">IFERROR(IF(SUMPRODUCT(LARGE((Log!J5:J404&lt;&gt;"")*ROW(Log!J5:J404),25))=0,"",INDEX(Log!J:J,SUMPRODUCT(LARGE((Log!J5:J404&lt;&gt;"")*ROW(Log!J5:J404),25)))),"")</f>
        <v/>
      </c>
      <c r="O26" s="120" t="str">
        <f aca="false">IFERROR(IF(COUNT(N26:N30)&lt;3,"",AVERAGE(N26:N30)),"")</f>
        <v/>
      </c>
      <c r="S26" s="121" t="str">
        <f aca="false">IF(AND(ISNUMBER(I26),OR(C26="Heavy",C26="Test")),I26,"")</f>
        <v/>
      </c>
      <c r="T26" s="121" t="str">
        <f aca="false">IF(AND(ISNUMBER(I26),C26="Volume"),I26,"")</f>
        <v/>
      </c>
    </row>
    <row r="27" customFormat="false" ht="15" hidden="false" customHeight="true" outlineLevel="0" collapsed="false">
      <c r="A27" s="115" t="n">
        <v>26</v>
      </c>
      <c r="B27" s="116" t="str">
        <f aca="false" t="array" ref="B27:B27">IFERROR(IF(SUMPRODUCT(LARGE((Log!B5:B404="Yielding")*ROW(Log!B5:B404),26))=0,"",INDEX(Log!A:A,SUMPRODUCT(LARGE((Log!B5:B404="Yielding")*ROW(Log!B5:B404),26)))),"")</f>
        <v/>
      </c>
      <c r="C27" s="117" t="str">
        <f aca="false" t="array" ref="C27:C27">IFERROR(IF(SUMPRODUCT(LARGE((Log!B5:B404="Yielding")*ROW(Log!B5:B404),26))=0,"",INDEX(Log!D:D,SUMPRODUCT(LARGE((Log!B5:B404="Yielding")*ROW(Log!B5:B404),26)))),"")</f>
        <v/>
      </c>
      <c r="D27" s="118" t="str">
        <f aca="false" t="array" ref="D27:D27">IFERROR(IF(SUMPRODUCT(LARGE((Log!B5:B404="Yielding")*ROW(Log!B5:B404),26))=0,"",INDEX(Log!E:E,SUMPRODUCT(LARGE((Log!B5:B404="Yielding")*ROW(Log!B5:B404),26)))),"")</f>
        <v/>
      </c>
      <c r="E27" s="118" t="str">
        <f aca="false" t="array" ref="E27:E27">IFERROR(IF(SUMPRODUCT(LARGE((Log!B5:B404="Yielding")*ROW(Log!B5:B404),26))=0,"",INDEX(Log!F:F,SUMPRODUCT(LARGE((Log!B5:B404="Yielding")*ROW(Log!B5:B404),26)))),"")</f>
        <v/>
      </c>
      <c r="F27" s="118" t="str">
        <f aca="false" t="array" ref="F27:F27">IFERROR(IF(SUMPRODUCT(LARGE((Log!B5:B404="Yielding")*ROW(Log!B5:B404),26))=0,"",INDEX(Log!M:M,SUMPRODUCT(LARGE((Log!B5:B404="Yielding")*ROW(Log!B5:B404),26)))),"")</f>
        <v/>
      </c>
      <c r="G27" s="118" t="str">
        <f aca="false">IF(AND(ISNUMBER(F27),OR(C27="Heavy",C27="Test")),F27,"")</f>
        <v/>
      </c>
      <c r="H27" s="118" t="str">
        <f aca="false">IF(AND(ISNUMBER(F27),C27="Volume"),F27,"")</f>
        <v/>
      </c>
      <c r="I27" s="119" t="str">
        <f aca="false">IFERROR(IF(F27="","",D27/MAX($F$2:$F$51)*100),"")</f>
        <v/>
      </c>
      <c r="L27" s="115" t="n">
        <v>26</v>
      </c>
      <c r="M27" s="116" t="str">
        <f aca="false" t="array" ref="M27:M27">IFERROR(IF(SUMPRODUCT(LARGE((Log!J5:J404&lt;&gt;"")*ROW(Log!J5:J404),26))=0,"",INDEX(Log!A:A,SUMPRODUCT(LARGE((Log!J5:J404&lt;&gt;"")*ROW(Log!J5:J404),26)))),"")</f>
        <v/>
      </c>
      <c r="N27" s="118" t="str">
        <f aca="false" t="array" ref="N27:N27">IFERROR(IF(SUMPRODUCT(LARGE((Log!J5:J404&lt;&gt;"")*ROW(Log!J5:J404),26))=0,"",INDEX(Log!J:J,SUMPRODUCT(LARGE((Log!J5:J404&lt;&gt;"")*ROW(Log!J5:J404),26)))),"")</f>
        <v/>
      </c>
      <c r="O27" s="120" t="str">
        <f aca="false">IFERROR(IF(COUNT(N27:N31)&lt;3,"",AVERAGE(N27:N31)),"")</f>
        <v/>
      </c>
      <c r="S27" s="121" t="str">
        <f aca="false">IF(AND(ISNUMBER(I27),OR(C27="Heavy",C27="Test")),I27,"")</f>
        <v/>
      </c>
      <c r="T27" s="121" t="str">
        <f aca="false">IF(AND(ISNUMBER(I27),C27="Volume"),I27,"")</f>
        <v/>
      </c>
    </row>
    <row r="28" customFormat="false" ht="15" hidden="false" customHeight="true" outlineLevel="0" collapsed="false">
      <c r="A28" s="115" t="n">
        <v>27</v>
      </c>
      <c r="B28" s="116" t="str">
        <f aca="false" t="array" ref="B28:B28">IFERROR(IF(SUMPRODUCT(LARGE((Log!B5:B404="Yielding")*ROW(Log!B5:B404),27))=0,"",INDEX(Log!A:A,SUMPRODUCT(LARGE((Log!B5:B404="Yielding")*ROW(Log!B5:B404),27)))),"")</f>
        <v/>
      </c>
      <c r="C28" s="117" t="str">
        <f aca="false" t="array" ref="C28:C28">IFERROR(IF(SUMPRODUCT(LARGE((Log!B5:B404="Yielding")*ROW(Log!B5:B404),27))=0,"",INDEX(Log!D:D,SUMPRODUCT(LARGE((Log!B5:B404="Yielding")*ROW(Log!B5:B404),27)))),"")</f>
        <v/>
      </c>
      <c r="D28" s="118" t="str">
        <f aca="false" t="array" ref="D28:D28">IFERROR(IF(SUMPRODUCT(LARGE((Log!B5:B404="Yielding")*ROW(Log!B5:B404),27))=0,"",INDEX(Log!E:E,SUMPRODUCT(LARGE((Log!B5:B404="Yielding")*ROW(Log!B5:B404),27)))),"")</f>
        <v/>
      </c>
      <c r="E28" s="118" t="str">
        <f aca="false" t="array" ref="E28:E28">IFERROR(IF(SUMPRODUCT(LARGE((Log!B5:B404="Yielding")*ROW(Log!B5:B404),27))=0,"",INDEX(Log!F:F,SUMPRODUCT(LARGE((Log!B5:B404="Yielding")*ROW(Log!B5:B404),27)))),"")</f>
        <v/>
      </c>
      <c r="F28" s="118" t="str">
        <f aca="false" t="array" ref="F28:F28">IFERROR(IF(SUMPRODUCT(LARGE((Log!B5:B404="Yielding")*ROW(Log!B5:B404),27))=0,"",INDEX(Log!M:M,SUMPRODUCT(LARGE((Log!B5:B404="Yielding")*ROW(Log!B5:B404),27)))),"")</f>
        <v/>
      </c>
      <c r="G28" s="118" t="str">
        <f aca="false">IF(AND(ISNUMBER(F28),OR(C28="Heavy",C28="Test")),F28,"")</f>
        <v/>
      </c>
      <c r="H28" s="118" t="str">
        <f aca="false">IF(AND(ISNUMBER(F28),C28="Volume"),F28,"")</f>
        <v/>
      </c>
      <c r="I28" s="119" t="str">
        <f aca="false">IFERROR(IF(F28="","",D28/MAX($F$2:$F$51)*100),"")</f>
        <v/>
      </c>
      <c r="L28" s="115" t="n">
        <v>27</v>
      </c>
      <c r="M28" s="116" t="str">
        <f aca="false" t="array" ref="M28:M28">IFERROR(IF(SUMPRODUCT(LARGE((Log!J5:J404&lt;&gt;"")*ROW(Log!J5:J404),27))=0,"",INDEX(Log!A:A,SUMPRODUCT(LARGE((Log!J5:J404&lt;&gt;"")*ROW(Log!J5:J404),27)))),"")</f>
        <v/>
      </c>
      <c r="N28" s="118" t="str">
        <f aca="false" t="array" ref="N28:N28">IFERROR(IF(SUMPRODUCT(LARGE((Log!J5:J404&lt;&gt;"")*ROW(Log!J5:J404),27))=0,"",INDEX(Log!J:J,SUMPRODUCT(LARGE((Log!J5:J404&lt;&gt;"")*ROW(Log!J5:J404),27)))),"")</f>
        <v/>
      </c>
      <c r="O28" s="120" t="str">
        <f aca="false">IFERROR(IF(COUNT(N28:N32)&lt;3,"",AVERAGE(N28:N32)),"")</f>
        <v/>
      </c>
      <c r="S28" s="121" t="str">
        <f aca="false">IF(AND(ISNUMBER(I28),OR(C28="Heavy",C28="Test")),I28,"")</f>
        <v/>
      </c>
      <c r="T28" s="121" t="str">
        <f aca="false">IF(AND(ISNUMBER(I28),C28="Volume"),I28,"")</f>
        <v/>
      </c>
    </row>
    <row r="29" customFormat="false" ht="15" hidden="false" customHeight="true" outlineLevel="0" collapsed="false">
      <c r="A29" s="115" t="n">
        <v>28</v>
      </c>
      <c r="B29" s="116" t="str">
        <f aca="false" t="array" ref="B29:B29">IFERROR(IF(SUMPRODUCT(LARGE((Log!B5:B404="Yielding")*ROW(Log!B5:B404),28))=0,"",INDEX(Log!A:A,SUMPRODUCT(LARGE((Log!B5:B404="Yielding")*ROW(Log!B5:B404),28)))),"")</f>
        <v/>
      </c>
      <c r="C29" s="117" t="str">
        <f aca="false" t="array" ref="C29:C29">IFERROR(IF(SUMPRODUCT(LARGE((Log!B5:B404="Yielding")*ROW(Log!B5:B404),28))=0,"",INDEX(Log!D:D,SUMPRODUCT(LARGE((Log!B5:B404="Yielding")*ROW(Log!B5:B404),28)))),"")</f>
        <v/>
      </c>
      <c r="D29" s="118" t="str">
        <f aca="false" t="array" ref="D29:D29">IFERROR(IF(SUMPRODUCT(LARGE((Log!B5:B404="Yielding")*ROW(Log!B5:B404),28))=0,"",INDEX(Log!E:E,SUMPRODUCT(LARGE((Log!B5:B404="Yielding")*ROW(Log!B5:B404),28)))),"")</f>
        <v/>
      </c>
      <c r="E29" s="118" t="str">
        <f aca="false" t="array" ref="E29:E29">IFERROR(IF(SUMPRODUCT(LARGE((Log!B5:B404="Yielding")*ROW(Log!B5:B404),28))=0,"",INDEX(Log!F:F,SUMPRODUCT(LARGE((Log!B5:B404="Yielding")*ROW(Log!B5:B404),28)))),"")</f>
        <v/>
      </c>
      <c r="F29" s="118" t="str">
        <f aca="false" t="array" ref="F29:F29">IFERROR(IF(SUMPRODUCT(LARGE((Log!B5:B404="Yielding")*ROW(Log!B5:B404),28))=0,"",INDEX(Log!M:M,SUMPRODUCT(LARGE((Log!B5:B404="Yielding")*ROW(Log!B5:B404),28)))),"")</f>
        <v/>
      </c>
      <c r="G29" s="118" t="str">
        <f aca="false">IF(AND(ISNUMBER(F29),OR(C29="Heavy",C29="Test")),F29,"")</f>
        <v/>
      </c>
      <c r="H29" s="118" t="str">
        <f aca="false">IF(AND(ISNUMBER(F29),C29="Volume"),F29,"")</f>
        <v/>
      </c>
      <c r="I29" s="119" t="str">
        <f aca="false">IFERROR(IF(F29="","",D29/MAX($F$2:$F$51)*100),"")</f>
        <v/>
      </c>
      <c r="L29" s="115" t="n">
        <v>28</v>
      </c>
      <c r="M29" s="116" t="str">
        <f aca="false" t="array" ref="M29:M29">IFERROR(IF(SUMPRODUCT(LARGE((Log!J5:J404&lt;&gt;"")*ROW(Log!J5:J404),28))=0,"",INDEX(Log!A:A,SUMPRODUCT(LARGE((Log!J5:J404&lt;&gt;"")*ROW(Log!J5:J404),28)))),"")</f>
        <v/>
      </c>
      <c r="N29" s="118" t="str">
        <f aca="false" t="array" ref="N29:N29">IFERROR(IF(SUMPRODUCT(LARGE((Log!J5:J404&lt;&gt;"")*ROW(Log!J5:J404),28))=0,"",INDEX(Log!J:J,SUMPRODUCT(LARGE((Log!J5:J404&lt;&gt;"")*ROW(Log!J5:J404),28)))),"")</f>
        <v/>
      </c>
      <c r="O29" s="120" t="str">
        <f aca="false">IFERROR(IF(COUNT(N29:N33)&lt;3,"",AVERAGE(N29:N33)),"")</f>
        <v/>
      </c>
      <c r="S29" s="121" t="str">
        <f aca="false">IF(AND(ISNUMBER(I29),OR(C29="Heavy",C29="Test")),I29,"")</f>
        <v/>
      </c>
      <c r="T29" s="121" t="str">
        <f aca="false">IF(AND(ISNUMBER(I29),C29="Volume"),I29,"")</f>
        <v/>
      </c>
    </row>
    <row r="30" customFormat="false" ht="15" hidden="false" customHeight="true" outlineLevel="0" collapsed="false">
      <c r="A30" s="115" t="n">
        <v>29</v>
      </c>
      <c r="B30" s="116" t="str">
        <f aca="false" t="array" ref="B30:B30">IFERROR(IF(SUMPRODUCT(LARGE((Log!B5:B404="Yielding")*ROW(Log!B5:B404),29))=0,"",INDEX(Log!A:A,SUMPRODUCT(LARGE((Log!B5:B404="Yielding")*ROW(Log!B5:B404),29)))),"")</f>
        <v/>
      </c>
      <c r="C30" s="117" t="str">
        <f aca="false" t="array" ref="C30:C30">IFERROR(IF(SUMPRODUCT(LARGE((Log!B5:B404="Yielding")*ROW(Log!B5:B404),29))=0,"",INDEX(Log!D:D,SUMPRODUCT(LARGE((Log!B5:B404="Yielding")*ROW(Log!B5:B404),29)))),"")</f>
        <v/>
      </c>
      <c r="D30" s="118" t="str">
        <f aca="false" t="array" ref="D30:D30">IFERROR(IF(SUMPRODUCT(LARGE((Log!B5:B404="Yielding")*ROW(Log!B5:B404),29))=0,"",INDEX(Log!E:E,SUMPRODUCT(LARGE((Log!B5:B404="Yielding")*ROW(Log!B5:B404),29)))),"")</f>
        <v/>
      </c>
      <c r="E30" s="118" t="str">
        <f aca="false" t="array" ref="E30:E30">IFERROR(IF(SUMPRODUCT(LARGE((Log!B5:B404="Yielding")*ROW(Log!B5:B404),29))=0,"",INDEX(Log!F:F,SUMPRODUCT(LARGE((Log!B5:B404="Yielding")*ROW(Log!B5:B404),29)))),"")</f>
        <v/>
      </c>
      <c r="F30" s="118" t="str">
        <f aca="false" t="array" ref="F30:F30">IFERROR(IF(SUMPRODUCT(LARGE((Log!B5:B404="Yielding")*ROW(Log!B5:B404),29))=0,"",INDEX(Log!M:M,SUMPRODUCT(LARGE((Log!B5:B404="Yielding")*ROW(Log!B5:B404),29)))),"")</f>
        <v/>
      </c>
      <c r="G30" s="118" t="str">
        <f aca="false">IF(AND(ISNUMBER(F30),OR(C30="Heavy",C30="Test")),F30,"")</f>
        <v/>
      </c>
      <c r="H30" s="118" t="str">
        <f aca="false">IF(AND(ISNUMBER(F30),C30="Volume"),F30,"")</f>
        <v/>
      </c>
      <c r="I30" s="119" t="str">
        <f aca="false">IFERROR(IF(F30="","",D30/MAX($F$2:$F$51)*100),"")</f>
        <v/>
      </c>
      <c r="L30" s="115" t="n">
        <v>29</v>
      </c>
      <c r="M30" s="116" t="str">
        <f aca="false" t="array" ref="M30:M30">IFERROR(IF(SUMPRODUCT(LARGE((Log!J5:J404&lt;&gt;"")*ROW(Log!J5:J404),29))=0,"",INDEX(Log!A:A,SUMPRODUCT(LARGE((Log!J5:J404&lt;&gt;"")*ROW(Log!J5:J404),29)))),"")</f>
        <v/>
      </c>
      <c r="N30" s="118" t="str">
        <f aca="false" t="array" ref="N30:N30">IFERROR(IF(SUMPRODUCT(LARGE((Log!J5:J404&lt;&gt;"")*ROW(Log!J5:J404),29))=0,"",INDEX(Log!J:J,SUMPRODUCT(LARGE((Log!J5:J404&lt;&gt;"")*ROW(Log!J5:J404),29)))),"")</f>
        <v/>
      </c>
      <c r="O30" s="120" t="str">
        <f aca="false">IFERROR(IF(COUNT(N30:N34)&lt;3,"",AVERAGE(N30:N34)),"")</f>
        <v/>
      </c>
      <c r="S30" s="121" t="str">
        <f aca="false">IF(AND(ISNUMBER(I30),OR(C30="Heavy",C30="Test")),I30,"")</f>
        <v/>
      </c>
      <c r="T30" s="121" t="str">
        <f aca="false">IF(AND(ISNUMBER(I30),C30="Volume"),I30,"")</f>
        <v/>
      </c>
    </row>
    <row r="31" customFormat="false" ht="15" hidden="false" customHeight="true" outlineLevel="0" collapsed="false">
      <c r="A31" s="115" t="n">
        <v>30</v>
      </c>
      <c r="B31" s="116" t="str">
        <f aca="false" t="array" ref="B31:B31">IFERROR(IF(SUMPRODUCT(LARGE((Log!B5:B404="Yielding")*ROW(Log!B5:B404),30))=0,"",INDEX(Log!A:A,SUMPRODUCT(LARGE((Log!B5:B404="Yielding")*ROW(Log!B5:B404),30)))),"")</f>
        <v/>
      </c>
      <c r="C31" s="117" t="str">
        <f aca="false" t="array" ref="C31:C31">IFERROR(IF(SUMPRODUCT(LARGE((Log!B5:B404="Yielding")*ROW(Log!B5:B404),30))=0,"",INDEX(Log!D:D,SUMPRODUCT(LARGE((Log!B5:B404="Yielding")*ROW(Log!B5:B404),30)))),"")</f>
        <v/>
      </c>
      <c r="D31" s="118" t="str">
        <f aca="false" t="array" ref="D31:D31">IFERROR(IF(SUMPRODUCT(LARGE((Log!B5:B404="Yielding")*ROW(Log!B5:B404),30))=0,"",INDEX(Log!E:E,SUMPRODUCT(LARGE((Log!B5:B404="Yielding")*ROW(Log!B5:B404),30)))),"")</f>
        <v/>
      </c>
      <c r="E31" s="118" t="str">
        <f aca="false" t="array" ref="E31:E31">IFERROR(IF(SUMPRODUCT(LARGE((Log!B5:B404="Yielding")*ROW(Log!B5:B404),30))=0,"",INDEX(Log!F:F,SUMPRODUCT(LARGE((Log!B5:B404="Yielding")*ROW(Log!B5:B404),30)))),"")</f>
        <v/>
      </c>
      <c r="F31" s="118" t="str">
        <f aca="false" t="array" ref="F31:F31">IFERROR(IF(SUMPRODUCT(LARGE((Log!B5:B404="Yielding")*ROW(Log!B5:B404),30))=0,"",INDEX(Log!M:M,SUMPRODUCT(LARGE((Log!B5:B404="Yielding")*ROW(Log!B5:B404),30)))),"")</f>
        <v/>
      </c>
      <c r="G31" s="118" t="str">
        <f aca="false">IF(AND(ISNUMBER(F31),OR(C31="Heavy",C31="Test")),F31,"")</f>
        <v/>
      </c>
      <c r="H31" s="118" t="str">
        <f aca="false">IF(AND(ISNUMBER(F31),C31="Volume"),F31,"")</f>
        <v/>
      </c>
      <c r="I31" s="119" t="str">
        <f aca="false">IFERROR(IF(F31="","",D31/MAX($F$2:$F$51)*100),"")</f>
        <v/>
      </c>
      <c r="L31" s="115" t="n">
        <v>30</v>
      </c>
      <c r="M31" s="116" t="str">
        <f aca="false" t="array" ref="M31:M31">IFERROR(IF(SUMPRODUCT(LARGE((Log!J5:J404&lt;&gt;"")*ROW(Log!J5:J404),30))=0,"",INDEX(Log!A:A,SUMPRODUCT(LARGE((Log!J5:J404&lt;&gt;"")*ROW(Log!J5:J404),30)))),"")</f>
        <v/>
      </c>
      <c r="N31" s="118" t="str">
        <f aca="false" t="array" ref="N31:N31">IFERROR(IF(SUMPRODUCT(LARGE((Log!J5:J404&lt;&gt;"")*ROW(Log!J5:J404),30))=0,"",INDEX(Log!J:J,SUMPRODUCT(LARGE((Log!J5:J404&lt;&gt;"")*ROW(Log!J5:J404),30)))),"")</f>
        <v/>
      </c>
      <c r="O31" s="120" t="str">
        <f aca="false">IFERROR(IF(COUNT(N31:N35)&lt;3,"",AVERAGE(N31:N35)),"")</f>
        <v/>
      </c>
      <c r="S31" s="121" t="str">
        <f aca="false">IF(AND(ISNUMBER(I31),OR(C31="Heavy",C31="Test")),I31,"")</f>
        <v/>
      </c>
      <c r="T31" s="121" t="str">
        <f aca="false">IF(AND(ISNUMBER(I31),C31="Volume"),I31,"")</f>
        <v/>
      </c>
    </row>
    <row r="32" customFormat="false" ht="15" hidden="false" customHeight="true" outlineLevel="0" collapsed="false">
      <c r="A32" s="115" t="n">
        <v>31</v>
      </c>
      <c r="B32" s="116" t="str">
        <f aca="false" t="array" ref="B32:B32">IFERROR(IF(SUMPRODUCT(LARGE((Log!B5:B404="Yielding")*ROW(Log!B5:B404),31))=0,"",INDEX(Log!A:A,SUMPRODUCT(LARGE((Log!B5:B404="Yielding")*ROW(Log!B5:B404),31)))),"")</f>
        <v/>
      </c>
      <c r="C32" s="117" t="str">
        <f aca="false" t="array" ref="C32:C32">IFERROR(IF(SUMPRODUCT(LARGE((Log!B5:B404="Yielding")*ROW(Log!B5:B404),31))=0,"",INDEX(Log!D:D,SUMPRODUCT(LARGE((Log!B5:B404="Yielding")*ROW(Log!B5:B404),31)))),"")</f>
        <v/>
      </c>
      <c r="D32" s="118" t="str">
        <f aca="false" t="array" ref="D32:D32">IFERROR(IF(SUMPRODUCT(LARGE((Log!B5:B404="Yielding")*ROW(Log!B5:B404),31))=0,"",INDEX(Log!E:E,SUMPRODUCT(LARGE((Log!B5:B404="Yielding")*ROW(Log!B5:B404),31)))),"")</f>
        <v/>
      </c>
      <c r="E32" s="118" t="str">
        <f aca="false" t="array" ref="E32:E32">IFERROR(IF(SUMPRODUCT(LARGE((Log!B5:B404="Yielding")*ROW(Log!B5:B404),31))=0,"",INDEX(Log!F:F,SUMPRODUCT(LARGE((Log!B5:B404="Yielding")*ROW(Log!B5:B404),31)))),"")</f>
        <v/>
      </c>
      <c r="F32" s="118" t="str">
        <f aca="false" t="array" ref="F32:F32">IFERROR(IF(SUMPRODUCT(LARGE((Log!B5:B404="Yielding")*ROW(Log!B5:B404),31))=0,"",INDEX(Log!M:M,SUMPRODUCT(LARGE((Log!B5:B404="Yielding")*ROW(Log!B5:B404),31)))),"")</f>
        <v/>
      </c>
      <c r="G32" s="118" t="str">
        <f aca="false">IF(AND(ISNUMBER(F32),OR(C32="Heavy",C32="Test")),F32,"")</f>
        <v/>
      </c>
      <c r="H32" s="118" t="str">
        <f aca="false">IF(AND(ISNUMBER(F32),C32="Volume"),F32,"")</f>
        <v/>
      </c>
      <c r="I32" s="119" t="str">
        <f aca="false">IFERROR(IF(F32="","",D32/MAX($F$2:$F$51)*100),"")</f>
        <v/>
      </c>
      <c r="L32" s="115" t="n">
        <v>31</v>
      </c>
      <c r="M32" s="116" t="str">
        <f aca="false" t="array" ref="M32:M32">IFERROR(IF(SUMPRODUCT(LARGE((Log!J5:J404&lt;&gt;"")*ROW(Log!J5:J404),31))=0,"",INDEX(Log!A:A,SUMPRODUCT(LARGE((Log!J5:J404&lt;&gt;"")*ROW(Log!J5:J404),31)))),"")</f>
        <v/>
      </c>
      <c r="N32" s="118" t="str">
        <f aca="false" t="array" ref="N32:N32">IFERROR(IF(SUMPRODUCT(LARGE((Log!J5:J404&lt;&gt;"")*ROW(Log!J5:J404),31))=0,"",INDEX(Log!J:J,SUMPRODUCT(LARGE((Log!J5:J404&lt;&gt;"")*ROW(Log!J5:J404),31)))),"")</f>
        <v/>
      </c>
      <c r="O32" s="120" t="str">
        <f aca="false">IFERROR(IF(COUNT(N32:N36)&lt;3,"",AVERAGE(N32:N36)),"")</f>
        <v/>
      </c>
      <c r="S32" s="121" t="str">
        <f aca="false">IF(AND(ISNUMBER(I32),OR(C32="Heavy",C32="Test")),I32,"")</f>
        <v/>
      </c>
      <c r="T32" s="121" t="str">
        <f aca="false">IF(AND(ISNUMBER(I32),C32="Volume"),I32,"")</f>
        <v/>
      </c>
    </row>
    <row r="33" customFormat="false" ht="15" hidden="false" customHeight="true" outlineLevel="0" collapsed="false">
      <c r="A33" s="115" t="n">
        <v>32</v>
      </c>
      <c r="B33" s="116" t="str">
        <f aca="false" t="array" ref="B33:B33">IFERROR(IF(SUMPRODUCT(LARGE((Log!B5:B404="Yielding")*ROW(Log!B5:B404),32))=0,"",INDEX(Log!A:A,SUMPRODUCT(LARGE((Log!B5:B404="Yielding")*ROW(Log!B5:B404),32)))),"")</f>
        <v/>
      </c>
      <c r="C33" s="117" t="str">
        <f aca="false" t="array" ref="C33:C33">IFERROR(IF(SUMPRODUCT(LARGE((Log!B5:B404="Yielding")*ROW(Log!B5:B404),32))=0,"",INDEX(Log!D:D,SUMPRODUCT(LARGE((Log!B5:B404="Yielding")*ROW(Log!B5:B404),32)))),"")</f>
        <v/>
      </c>
      <c r="D33" s="118" t="str">
        <f aca="false" t="array" ref="D33:D33">IFERROR(IF(SUMPRODUCT(LARGE((Log!B5:B404="Yielding")*ROW(Log!B5:B404),32))=0,"",INDEX(Log!E:E,SUMPRODUCT(LARGE((Log!B5:B404="Yielding")*ROW(Log!B5:B404),32)))),"")</f>
        <v/>
      </c>
      <c r="E33" s="118" t="str">
        <f aca="false" t="array" ref="E33:E33">IFERROR(IF(SUMPRODUCT(LARGE((Log!B5:B404="Yielding")*ROW(Log!B5:B404),32))=0,"",INDEX(Log!F:F,SUMPRODUCT(LARGE((Log!B5:B404="Yielding")*ROW(Log!B5:B404),32)))),"")</f>
        <v/>
      </c>
      <c r="F33" s="118" t="str">
        <f aca="false" t="array" ref="F33:F33">IFERROR(IF(SUMPRODUCT(LARGE((Log!B5:B404="Yielding")*ROW(Log!B5:B404),32))=0,"",INDEX(Log!M:M,SUMPRODUCT(LARGE((Log!B5:B404="Yielding")*ROW(Log!B5:B404),32)))),"")</f>
        <v/>
      </c>
      <c r="G33" s="118" t="str">
        <f aca="false">IF(AND(ISNUMBER(F33),OR(C33="Heavy",C33="Test")),F33,"")</f>
        <v/>
      </c>
      <c r="H33" s="118" t="str">
        <f aca="false">IF(AND(ISNUMBER(F33),C33="Volume"),F33,"")</f>
        <v/>
      </c>
      <c r="I33" s="119" t="str">
        <f aca="false">IFERROR(IF(F33="","",D33/MAX($F$2:$F$51)*100),"")</f>
        <v/>
      </c>
      <c r="L33" s="115" t="n">
        <v>32</v>
      </c>
      <c r="M33" s="116" t="str">
        <f aca="false" t="array" ref="M33:M33">IFERROR(IF(SUMPRODUCT(LARGE((Log!J5:J404&lt;&gt;"")*ROW(Log!J5:J404),32))=0,"",INDEX(Log!A:A,SUMPRODUCT(LARGE((Log!J5:J404&lt;&gt;"")*ROW(Log!J5:J404),32)))),"")</f>
        <v/>
      </c>
      <c r="N33" s="118" t="str">
        <f aca="false" t="array" ref="N33:N33">IFERROR(IF(SUMPRODUCT(LARGE((Log!J5:J404&lt;&gt;"")*ROW(Log!J5:J404),32))=0,"",INDEX(Log!J:J,SUMPRODUCT(LARGE((Log!J5:J404&lt;&gt;"")*ROW(Log!J5:J404),32)))),"")</f>
        <v/>
      </c>
      <c r="O33" s="120" t="str">
        <f aca="false">IFERROR(IF(COUNT(N33:N37)&lt;3,"",AVERAGE(N33:N37)),"")</f>
        <v/>
      </c>
      <c r="S33" s="121" t="str">
        <f aca="false">IF(AND(ISNUMBER(I33),OR(C33="Heavy",C33="Test")),I33,"")</f>
        <v/>
      </c>
      <c r="T33" s="121" t="str">
        <f aca="false">IF(AND(ISNUMBER(I33),C33="Volume"),I33,"")</f>
        <v/>
      </c>
    </row>
    <row r="34" customFormat="false" ht="15" hidden="false" customHeight="true" outlineLevel="0" collapsed="false">
      <c r="A34" s="115" t="n">
        <v>33</v>
      </c>
      <c r="B34" s="116" t="str">
        <f aca="false" t="array" ref="B34:B34">IFERROR(IF(SUMPRODUCT(LARGE((Log!B5:B404="Yielding")*ROW(Log!B5:B404),33))=0,"",INDEX(Log!A:A,SUMPRODUCT(LARGE((Log!B5:B404="Yielding")*ROW(Log!B5:B404),33)))),"")</f>
        <v/>
      </c>
      <c r="C34" s="117" t="str">
        <f aca="false" t="array" ref="C34:C34">IFERROR(IF(SUMPRODUCT(LARGE((Log!B5:B404="Yielding")*ROW(Log!B5:B404),33))=0,"",INDEX(Log!D:D,SUMPRODUCT(LARGE((Log!B5:B404="Yielding")*ROW(Log!B5:B404),33)))),"")</f>
        <v/>
      </c>
      <c r="D34" s="118" t="str">
        <f aca="false" t="array" ref="D34:D34">IFERROR(IF(SUMPRODUCT(LARGE((Log!B5:B404="Yielding")*ROW(Log!B5:B404),33))=0,"",INDEX(Log!E:E,SUMPRODUCT(LARGE((Log!B5:B404="Yielding")*ROW(Log!B5:B404),33)))),"")</f>
        <v/>
      </c>
      <c r="E34" s="118" t="str">
        <f aca="false" t="array" ref="E34:E34">IFERROR(IF(SUMPRODUCT(LARGE((Log!B5:B404="Yielding")*ROW(Log!B5:B404),33))=0,"",INDEX(Log!F:F,SUMPRODUCT(LARGE((Log!B5:B404="Yielding")*ROW(Log!B5:B404),33)))),"")</f>
        <v/>
      </c>
      <c r="F34" s="118" t="str">
        <f aca="false" t="array" ref="F34:F34">IFERROR(IF(SUMPRODUCT(LARGE((Log!B5:B404="Yielding")*ROW(Log!B5:B404),33))=0,"",INDEX(Log!M:M,SUMPRODUCT(LARGE((Log!B5:B404="Yielding")*ROW(Log!B5:B404),33)))),"")</f>
        <v/>
      </c>
      <c r="G34" s="118" t="str">
        <f aca="false">IF(AND(ISNUMBER(F34),OR(C34="Heavy",C34="Test")),F34,"")</f>
        <v/>
      </c>
      <c r="H34" s="118" t="str">
        <f aca="false">IF(AND(ISNUMBER(F34),C34="Volume"),F34,"")</f>
        <v/>
      </c>
      <c r="I34" s="119" t="str">
        <f aca="false">IFERROR(IF(F34="","",D34/MAX($F$2:$F$51)*100),"")</f>
        <v/>
      </c>
      <c r="L34" s="115" t="n">
        <v>33</v>
      </c>
      <c r="M34" s="116" t="str">
        <f aca="false" t="array" ref="M34:M34">IFERROR(IF(SUMPRODUCT(LARGE((Log!J5:J404&lt;&gt;"")*ROW(Log!J5:J404),33))=0,"",INDEX(Log!A:A,SUMPRODUCT(LARGE((Log!J5:J404&lt;&gt;"")*ROW(Log!J5:J404),33)))),"")</f>
        <v/>
      </c>
      <c r="N34" s="118" t="str">
        <f aca="false" t="array" ref="N34:N34">IFERROR(IF(SUMPRODUCT(LARGE((Log!J5:J404&lt;&gt;"")*ROW(Log!J5:J404),33))=0,"",INDEX(Log!J:J,SUMPRODUCT(LARGE((Log!J5:J404&lt;&gt;"")*ROW(Log!J5:J404),33)))),"")</f>
        <v/>
      </c>
      <c r="O34" s="120" t="str">
        <f aca="false">IFERROR(IF(COUNT(N34:N38)&lt;3,"",AVERAGE(N34:N38)),"")</f>
        <v/>
      </c>
      <c r="S34" s="121" t="str">
        <f aca="false">IF(AND(ISNUMBER(I34),OR(C34="Heavy",C34="Test")),I34,"")</f>
        <v/>
      </c>
      <c r="T34" s="121" t="str">
        <f aca="false">IF(AND(ISNUMBER(I34),C34="Volume"),I34,"")</f>
        <v/>
      </c>
    </row>
    <row r="35" customFormat="false" ht="15" hidden="false" customHeight="true" outlineLevel="0" collapsed="false">
      <c r="A35" s="115" t="n">
        <v>34</v>
      </c>
      <c r="B35" s="116" t="str">
        <f aca="false" t="array" ref="B35:B35">IFERROR(IF(SUMPRODUCT(LARGE((Log!B5:B404="Yielding")*ROW(Log!B5:B404),34))=0,"",INDEX(Log!A:A,SUMPRODUCT(LARGE((Log!B5:B404="Yielding")*ROW(Log!B5:B404),34)))),"")</f>
        <v/>
      </c>
      <c r="C35" s="117" t="str">
        <f aca="false" t="array" ref="C35:C35">IFERROR(IF(SUMPRODUCT(LARGE((Log!B5:B404="Yielding")*ROW(Log!B5:B404),34))=0,"",INDEX(Log!D:D,SUMPRODUCT(LARGE((Log!B5:B404="Yielding")*ROW(Log!B5:B404),34)))),"")</f>
        <v/>
      </c>
      <c r="D35" s="118" t="str">
        <f aca="false" t="array" ref="D35:D35">IFERROR(IF(SUMPRODUCT(LARGE((Log!B5:B404="Yielding")*ROW(Log!B5:B404),34))=0,"",INDEX(Log!E:E,SUMPRODUCT(LARGE((Log!B5:B404="Yielding")*ROW(Log!B5:B404),34)))),"")</f>
        <v/>
      </c>
      <c r="E35" s="118" t="str">
        <f aca="false" t="array" ref="E35:E35">IFERROR(IF(SUMPRODUCT(LARGE((Log!B5:B404="Yielding")*ROW(Log!B5:B404),34))=0,"",INDEX(Log!F:F,SUMPRODUCT(LARGE((Log!B5:B404="Yielding")*ROW(Log!B5:B404),34)))),"")</f>
        <v/>
      </c>
      <c r="F35" s="118" t="str">
        <f aca="false" t="array" ref="F35:F35">IFERROR(IF(SUMPRODUCT(LARGE((Log!B5:B404="Yielding")*ROW(Log!B5:B404),34))=0,"",INDEX(Log!M:M,SUMPRODUCT(LARGE((Log!B5:B404="Yielding")*ROW(Log!B5:B404),34)))),"")</f>
        <v/>
      </c>
      <c r="G35" s="118" t="str">
        <f aca="false">IF(AND(ISNUMBER(F35),OR(C35="Heavy",C35="Test")),F35,"")</f>
        <v/>
      </c>
      <c r="H35" s="118" t="str">
        <f aca="false">IF(AND(ISNUMBER(F35),C35="Volume"),F35,"")</f>
        <v/>
      </c>
      <c r="I35" s="119" t="str">
        <f aca="false">IFERROR(IF(F35="","",D35/MAX($F$2:$F$51)*100),"")</f>
        <v/>
      </c>
      <c r="L35" s="115" t="n">
        <v>34</v>
      </c>
      <c r="M35" s="116" t="str">
        <f aca="false" t="array" ref="M35:M35">IFERROR(IF(SUMPRODUCT(LARGE((Log!J5:J404&lt;&gt;"")*ROW(Log!J5:J404),34))=0,"",INDEX(Log!A:A,SUMPRODUCT(LARGE((Log!J5:J404&lt;&gt;"")*ROW(Log!J5:J404),34)))),"")</f>
        <v/>
      </c>
      <c r="N35" s="118" t="str">
        <f aca="false" t="array" ref="N35:N35">IFERROR(IF(SUMPRODUCT(LARGE((Log!J5:J404&lt;&gt;"")*ROW(Log!J5:J404),34))=0,"",INDEX(Log!J:J,SUMPRODUCT(LARGE((Log!J5:J404&lt;&gt;"")*ROW(Log!J5:J404),34)))),"")</f>
        <v/>
      </c>
      <c r="O35" s="120" t="str">
        <f aca="false">IFERROR(IF(COUNT(N35:N39)&lt;3,"",AVERAGE(N35:N39)),"")</f>
        <v/>
      </c>
      <c r="S35" s="121" t="str">
        <f aca="false">IF(AND(ISNUMBER(I35),OR(C35="Heavy",C35="Test")),I35,"")</f>
        <v/>
      </c>
      <c r="T35" s="121" t="str">
        <f aca="false">IF(AND(ISNUMBER(I35),C35="Volume"),I35,"")</f>
        <v/>
      </c>
    </row>
    <row r="36" customFormat="false" ht="15" hidden="false" customHeight="true" outlineLevel="0" collapsed="false">
      <c r="A36" s="115" t="n">
        <v>35</v>
      </c>
      <c r="B36" s="116" t="str">
        <f aca="false" t="array" ref="B36:B36">IFERROR(IF(SUMPRODUCT(LARGE((Log!B5:B404="Yielding")*ROW(Log!B5:B404),35))=0,"",INDEX(Log!A:A,SUMPRODUCT(LARGE((Log!B5:B404="Yielding")*ROW(Log!B5:B404),35)))),"")</f>
        <v/>
      </c>
      <c r="C36" s="117" t="str">
        <f aca="false" t="array" ref="C36:C36">IFERROR(IF(SUMPRODUCT(LARGE((Log!B5:B404="Yielding")*ROW(Log!B5:B404),35))=0,"",INDEX(Log!D:D,SUMPRODUCT(LARGE((Log!B5:B404="Yielding")*ROW(Log!B5:B404),35)))),"")</f>
        <v/>
      </c>
      <c r="D36" s="118" t="str">
        <f aca="false" t="array" ref="D36:D36">IFERROR(IF(SUMPRODUCT(LARGE((Log!B5:B404="Yielding")*ROW(Log!B5:B404),35))=0,"",INDEX(Log!E:E,SUMPRODUCT(LARGE((Log!B5:B404="Yielding")*ROW(Log!B5:B404),35)))),"")</f>
        <v/>
      </c>
      <c r="E36" s="118" t="str">
        <f aca="false" t="array" ref="E36:E36">IFERROR(IF(SUMPRODUCT(LARGE((Log!B5:B404="Yielding")*ROW(Log!B5:B404),35))=0,"",INDEX(Log!F:F,SUMPRODUCT(LARGE((Log!B5:B404="Yielding")*ROW(Log!B5:B404),35)))),"")</f>
        <v/>
      </c>
      <c r="F36" s="118" t="str">
        <f aca="false" t="array" ref="F36:F36">IFERROR(IF(SUMPRODUCT(LARGE((Log!B5:B404="Yielding")*ROW(Log!B5:B404),35))=0,"",INDEX(Log!M:M,SUMPRODUCT(LARGE((Log!B5:B404="Yielding")*ROW(Log!B5:B404),35)))),"")</f>
        <v/>
      </c>
      <c r="G36" s="118" t="str">
        <f aca="false">IF(AND(ISNUMBER(F36),OR(C36="Heavy",C36="Test")),F36,"")</f>
        <v/>
      </c>
      <c r="H36" s="118" t="str">
        <f aca="false">IF(AND(ISNUMBER(F36),C36="Volume"),F36,"")</f>
        <v/>
      </c>
      <c r="I36" s="119" t="str">
        <f aca="false">IFERROR(IF(F36="","",D36/MAX($F$2:$F$51)*100),"")</f>
        <v/>
      </c>
      <c r="L36" s="115" t="n">
        <v>35</v>
      </c>
      <c r="M36" s="116" t="str">
        <f aca="false" t="array" ref="M36:M36">IFERROR(IF(SUMPRODUCT(LARGE((Log!J5:J404&lt;&gt;"")*ROW(Log!J5:J404),35))=0,"",INDEX(Log!A:A,SUMPRODUCT(LARGE((Log!J5:J404&lt;&gt;"")*ROW(Log!J5:J404),35)))),"")</f>
        <v/>
      </c>
      <c r="N36" s="118" t="str">
        <f aca="false" t="array" ref="N36:N36">IFERROR(IF(SUMPRODUCT(LARGE((Log!J5:J404&lt;&gt;"")*ROW(Log!J5:J404),35))=0,"",INDEX(Log!J:J,SUMPRODUCT(LARGE((Log!J5:J404&lt;&gt;"")*ROW(Log!J5:J404),35)))),"")</f>
        <v/>
      </c>
      <c r="O36" s="120" t="str">
        <f aca="false">IFERROR(IF(COUNT(N36:N40)&lt;3,"",AVERAGE(N36:N40)),"")</f>
        <v/>
      </c>
      <c r="S36" s="121" t="str">
        <f aca="false">IF(AND(ISNUMBER(I36),OR(C36="Heavy",C36="Test")),I36,"")</f>
        <v/>
      </c>
      <c r="T36" s="121" t="str">
        <f aca="false">IF(AND(ISNUMBER(I36),C36="Volume"),I36,"")</f>
        <v/>
      </c>
    </row>
    <row r="37" customFormat="false" ht="15" hidden="false" customHeight="true" outlineLevel="0" collapsed="false">
      <c r="A37" s="115" t="n">
        <v>36</v>
      </c>
      <c r="B37" s="116" t="str">
        <f aca="false" t="array" ref="B37:B37">IFERROR(IF(SUMPRODUCT(LARGE((Log!B5:B404="Yielding")*ROW(Log!B5:B404),36))=0,"",INDEX(Log!A:A,SUMPRODUCT(LARGE((Log!B5:B404="Yielding")*ROW(Log!B5:B404),36)))),"")</f>
        <v/>
      </c>
      <c r="C37" s="117" t="str">
        <f aca="false" t="array" ref="C37:C37">IFERROR(IF(SUMPRODUCT(LARGE((Log!B5:B404="Yielding")*ROW(Log!B5:B404),36))=0,"",INDEX(Log!D:D,SUMPRODUCT(LARGE((Log!B5:B404="Yielding")*ROW(Log!B5:B404),36)))),"")</f>
        <v/>
      </c>
      <c r="D37" s="118" t="str">
        <f aca="false" t="array" ref="D37:D37">IFERROR(IF(SUMPRODUCT(LARGE((Log!B5:B404="Yielding")*ROW(Log!B5:B404),36))=0,"",INDEX(Log!E:E,SUMPRODUCT(LARGE((Log!B5:B404="Yielding")*ROW(Log!B5:B404),36)))),"")</f>
        <v/>
      </c>
      <c r="E37" s="118" t="str">
        <f aca="false" t="array" ref="E37:E37">IFERROR(IF(SUMPRODUCT(LARGE((Log!B5:B404="Yielding")*ROW(Log!B5:B404),36))=0,"",INDEX(Log!F:F,SUMPRODUCT(LARGE((Log!B5:B404="Yielding")*ROW(Log!B5:B404),36)))),"")</f>
        <v/>
      </c>
      <c r="F37" s="118" t="str">
        <f aca="false" t="array" ref="F37:F37">IFERROR(IF(SUMPRODUCT(LARGE((Log!B5:B404="Yielding")*ROW(Log!B5:B404),36))=0,"",INDEX(Log!M:M,SUMPRODUCT(LARGE((Log!B5:B404="Yielding")*ROW(Log!B5:B404),36)))),"")</f>
        <v/>
      </c>
      <c r="G37" s="118" t="str">
        <f aca="false">IF(AND(ISNUMBER(F37),OR(C37="Heavy",C37="Test")),F37,"")</f>
        <v/>
      </c>
      <c r="H37" s="118" t="str">
        <f aca="false">IF(AND(ISNUMBER(F37),C37="Volume"),F37,"")</f>
        <v/>
      </c>
      <c r="I37" s="119" t="str">
        <f aca="false">IFERROR(IF(F37="","",D37/MAX($F$2:$F$51)*100),"")</f>
        <v/>
      </c>
      <c r="L37" s="115" t="n">
        <v>36</v>
      </c>
      <c r="M37" s="116" t="str">
        <f aca="false" t="array" ref="M37:M37">IFERROR(IF(SUMPRODUCT(LARGE((Log!J5:J404&lt;&gt;"")*ROW(Log!J5:J404),36))=0,"",INDEX(Log!A:A,SUMPRODUCT(LARGE((Log!J5:J404&lt;&gt;"")*ROW(Log!J5:J404),36)))),"")</f>
        <v/>
      </c>
      <c r="N37" s="118" t="str">
        <f aca="false" t="array" ref="N37:N37">IFERROR(IF(SUMPRODUCT(LARGE((Log!J5:J404&lt;&gt;"")*ROW(Log!J5:J404),36))=0,"",INDEX(Log!J:J,SUMPRODUCT(LARGE((Log!J5:J404&lt;&gt;"")*ROW(Log!J5:J404),36)))),"")</f>
        <v/>
      </c>
      <c r="O37" s="120" t="str">
        <f aca="false">IFERROR(IF(COUNT(N37:N41)&lt;3,"",AVERAGE(N37:N41)),"")</f>
        <v/>
      </c>
      <c r="S37" s="121" t="str">
        <f aca="false">IF(AND(ISNUMBER(I37),OR(C37="Heavy",C37="Test")),I37,"")</f>
        <v/>
      </c>
      <c r="T37" s="121" t="str">
        <f aca="false">IF(AND(ISNUMBER(I37),C37="Volume"),I37,"")</f>
        <v/>
      </c>
    </row>
    <row r="38" customFormat="false" ht="15" hidden="false" customHeight="true" outlineLevel="0" collapsed="false">
      <c r="A38" s="115" t="n">
        <v>37</v>
      </c>
      <c r="B38" s="116" t="str">
        <f aca="false" t="array" ref="B38:B38">IFERROR(IF(SUMPRODUCT(LARGE((Log!B5:B404="Yielding")*ROW(Log!B5:B404),37))=0,"",INDEX(Log!A:A,SUMPRODUCT(LARGE((Log!B5:B404="Yielding")*ROW(Log!B5:B404),37)))),"")</f>
        <v/>
      </c>
      <c r="C38" s="117" t="str">
        <f aca="false" t="array" ref="C38:C38">IFERROR(IF(SUMPRODUCT(LARGE((Log!B5:B404="Yielding")*ROW(Log!B5:B404),37))=0,"",INDEX(Log!D:D,SUMPRODUCT(LARGE((Log!B5:B404="Yielding")*ROW(Log!B5:B404),37)))),"")</f>
        <v/>
      </c>
      <c r="D38" s="118" t="str">
        <f aca="false" t="array" ref="D38:D38">IFERROR(IF(SUMPRODUCT(LARGE((Log!B5:B404="Yielding")*ROW(Log!B5:B404),37))=0,"",INDEX(Log!E:E,SUMPRODUCT(LARGE((Log!B5:B404="Yielding")*ROW(Log!B5:B404),37)))),"")</f>
        <v/>
      </c>
      <c r="E38" s="118" t="str">
        <f aca="false" t="array" ref="E38:E38">IFERROR(IF(SUMPRODUCT(LARGE((Log!B5:B404="Yielding")*ROW(Log!B5:B404),37))=0,"",INDEX(Log!F:F,SUMPRODUCT(LARGE((Log!B5:B404="Yielding")*ROW(Log!B5:B404),37)))),"")</f>
        <v/>
      </c>
      <c r="F38" s="118" t="str">
        <f aca="false" t="array" ref="F38:F38">IFERROR(IF(SUMPRODUCT(LARGE((Log!B5:B404="Yielding")*ROW(Log!B5:B404),37))=0,"",INDEX(Log!M:M,SUMPRODUCT(LARGE((Log!B5:B404="Yielding")*ROW(Log!B5:B404),37)))),"")</f>
        <v/>
      </c>
      <c r="G38" s="118" t="str">
        <f aca="false">IF(AND(ISNUMBER(F38),OR(C38="Heavy",C38="Test")),F38,"")</f>
        <v/>
      </c>
      <c r="H38" s="118" t="str">
        <f aca="false">IF(AND(ISNUMBER(F38),C38="Volume"),F38,"")</f>
        <v/>
      </c>
      <c r="I38" s="119" t="str">
        <f aca="false">IFERROR(IF(F38="","",D38/MAX($F$2:$F$51)*100),"")</f>
        <v/>
      </c>
      <c r="L38" s="115" t="n">
        <v>37</v>
      </c>
      <c r="M38" s="116" t="str">
        <f aca="false" t="array" ref="M38:M38">IFERROR(IF(SUMPRODUCT(LARGE((Log!J5:J404&lt;&gt;"")*ROW(Log!J5:J404),37))=0,"",INDEX(Log!A:A,SUMPRODUCT(LARGE((Log!J5:J404&lt;&gt;"")*ROW(Log!J5:J404),37)))),"")</f>
        <v/>
      </c>
      <c r="N38" s="118" t="str">
        <f aca="false" t="array" ref="N38:N38">IFERROR(IF(SUMPRODUCT(LARGE((Log!J5:J404&lt;&gt;"")*ROW(Log!J5:J404),37))=0,"",INDEX(Log!J:J,SUMPRODUCT(LARGE((Log!J5:J404&lt;&gt;"")*ROW(Log!J5:J404),37)))),"")</f>
        <v/>
      </c>
      <c r="O38" s="120" t="str">
        <f aca="false">IFERROR(IF(COUNT(N38:N42)&lt;3,"",AVERAGE(N38:N42)),"")</f>
        <v/>
      </c>
      <c r="S38" s="121" t="str">
        <f aca="false">IF(AND(ISNUMBER(I38),OR(C38="Heavy",C38="Test")),I38,"")</f>
        <v/>
      </c>
      <c r="T38" s="121" t="str">
        <f aca="false">IF(AND(ISNUMBER(I38),C38="Volume"),I38,"")</f>
        <v/>
      </c>
    </row>
    <row r="39" customFormat="false" ht="15" hidden="false" customHeight="true" outlineLevel="0" collapsed="false">
      <c r="A39" s="115" t="n">
        <v>38</v>
      </c>
      <c r="B39" s="116" t="str">
        <f aca="false" t="array" ref="B39:B39">IFERROR(IF(SUMPRODUCT(LARGE((Log!B5:B404="Yielding")*ROW(Log!B5:B404),38))=0,"",INDEX(Log!A:A,SUMPRODUCT(LARGE((Log!B5:B404="Yielding")*ROW(Log!B5:B404),38)))),"")</f>
        <v/>
      </c>
      <c r="C39" s="117" t="str">
        <f aca="false" t="array" ref="C39:C39">IFERROR(IF(SUMPRODUCT(LARGE((Log!B5:B404="Yielding")*ROW(Log!B5:B404),38))=0,"",INDEX(Log!D:D,SUMPRODUCT(LARGE((Log!B5:B404="Yielding")*ROW(Log!B5:B404),38)))),"")</f>
        <v/>
      </c>
      <c r="D39" s="118" t="str">
        <f aca="false" t="array" ref="D39:D39">IFERROR(IF(SUMPRODUCT(LARGE((Log!B5:B404="Yielding")*ROW(Log!B5:B404),38))=0,"",INDEX(Log!E:E,SUMPRODUCT(LARGE((Log!B5:B404="Yielding")*ROW(Log!B5:B404),38)))),"")</f>
        <v/>
      </c>
      <c r="E39" s="118" t="str">
        <f aca="false" t="array" ref="E39:E39">IFERROR(IF(SUMPRODUCT(LARGE((Log!B5:B404="Yielding")*ROW(Log!B5:B404),38))=0,"",INDEX(Log!F:F,SUMPRODUCT(LARGE((Log!B5:B404="Yielding")*ROW(Log!B5:B404),38)))),"")</f>
        <v/>
      </c>
      <c r="F39" s="118" t="str">
        <f aca="false" t="array" ref="F39:F39">IFERROR(IF(SUMPRODUCT(LARGE((Log!B5:B404="Yielding")*ROW(Log!B5:B404),38))=0,"",INDEX(Log!M:M,SUMPRODUCT(LARGE((Log!B5:B404="Yielding")*ROW(Log!B5:B404),38)))),"")</f>
        <v/>
      </c>
      <c r="G39" s="118" t="str">
        <f aca="false">IF(AND(ISNUMBER(F39),OR(C39="Heavy",C39="Test")),F39,"")</f>
        <v/>
      </c>
      <c r="H39" s="118" t="str">
        <f aca="false">IF(AND(ISNUMBER(F39),C39="Volume"),F39,"")</f>
        <v/>
      </c>
      <c r="I39" s="119" t="str">
        <f aca="false">IFERROR(IF(F39="","",D39/MAX($F$2:$F$51)*100),"")</f>
        <v/>
      </c>
      <c r="L39" s="115" t="n">
        <v>38</v>
      </c>
      <c r="M39" s="116" t="str">
        <f aca="false" t="array" ref="M39:M39">IFERROR(IF(SUMPRODUCT(LARGE((Log!J5:J404&lt;&gt;"")*ROW(Log!J5:J404),38))=0,"",INDEX(Log!A:A,SUMPRODUCT(LARGE((Log!J5:J404&lt;&gt;"")*ROW(Log!J5:J404),38)))),"")</f>
        <v/>
      </c>
      <c r="N39" s="118" t="str">
        <f aca="false" t="array" ref="N39:N39">IFERROR(IF(SUMPRODUCT(LARGE((Log!J5:J404&lt;&gt;"")*ROW(Log!J5:J404),38))=0,"",INDEX(Log!J:J,SUMPRODUCT(LARGE((Log!J5:J404&lt;&gt;"")*ROW(Log!J5:J404),38)))),"")</f>
        <v/>
      </c>
      <c r="O39" s="120" t="str">
        <f aca="false">IFERROR(IF(COUNT(N39:N43)&lt;3,"",AVERAGE(N39:N43)),"")</f>
        <v/>
      </c>
      <c r="S39" s="121" t="str">
        <f aca="false">IF(AND(ISNUMBER(I39),OR(C39="Heavy",C39="Test")),I39,"")</f>
        <v/>
      </c>
      <c r="T39" s="121" t="str">
        <f aca="false">IF(AND(ISNUMBER(I39),C39="Volume"),I39,"")</f>
        <v/>
      </c>
    </row>
    <row r="40" customFormat="false" ht="15" hidden="false" customHeight="true" outlineLevel="0" collapsed="false">
      <c r="A40" s="115" t="n">
        <v>39</v>
      </c>
      <c r="B40" s="116" t="str">
        <f aca="false" t="array" ref="B40:B40">IFERROR(IF(SUMPRODUCT(LARGE((Log!B5:B404="Yielding")*ROW(Log!B5:B404),39))=0,"",INDEX(Log!A:A,SUMPRODUCT(LARGE((Log!B5:B404="Yielding")*ROW(Log!B5:B404),39)))),"")</f>
        <v/>
      </c>
      <c r="C40" s="117" t="str">
        <f aca="false" t="array" ref="C40:C40">IFERROR(IF(SUMPRODUCT(LARGE((Log!B5:B404="Yielding")*ROW(Log!B5:B404),39))=0,"",INDEX(Log!D:D,SUMPRODUCT(LARGE((Log!B5:B404="Yielding")*ROW(Log!B5:B404),39)))),"")</f>
        <v/>
      </c>
      <c r="D40" s="118" t="str">
        <f aca="false" t="array" ref="D40:D40">IFERROR(IF(SUMPRODUCT(LARGE((Log!B5:B404="Yielding")*ROW(Log!B5:B404),39))=0,"",INDEX(Log!E:E,SUMPRODUCT(LARGE((Log!B5:B404="Yielding")*ROW(Log!B5:B404),39)))),"")</f>
        <v/>
      </c>
      <c r="E40" s="118" t="str">
        <f aca="false" t="array" ref="E40:E40">IFERROR(IF(SUMPRODUCT(LARGE((Log!B5:B404="Yielding")*ROW(Log!B5:B404),39))=0,"",INDEX(Log!F:F,SUMPRODUCT(LARGE((Log!B5:B404="Yielding")*ROW(Log!B5:B404),39)))),"")</f>
        <v/>
      </c>
      <c r="F40" s="118" t="str">
        <f aca="false" t="array" ref="F40:F40">IFERROR(IF(SUMPRODUCT(LARGE((Log!B5:B404="Yielding")*ROW(Log!B5:B404),39))=0,"",INDEX(Log!M:M,SUMPRODUCT(LARGE((Log!B5:B404="Yielding")*ROW(Log!B5:B404),39)))),"")</f>
        <v/>
      </c>
      <c r="G40" s="118" t="str">
        <f aca="false">IF(AND(ISNUMBER(F40),OR(C40="Heavy",C40="Test")),F40,"")</f>
        <v/>
      </c>
      <c r="H40" s="118" t="str">
        <f aca="false">IF(AND(ISNUMBER(F40),C40="Volume"),F40,"")</f>
        <v/>
      </c>
      <c r="I40" s="119" t="str">
        <f aca="false">IFERROR(IF(F40="","",D40/MAX($F$2:$F$51)*100),"")</f>
        <v/>
      </c>
      <c r="L40" s="115" t="n">
        <v>39</v>
      </c>
      <c r="M40" s="116" t="str">
        <f aca="false" t="array" ref="M40:M40">IFERROR(IF(SUMPRODUCT(LARGE((Log!J5:J404&lt;&gt;"")*ROW(Log!J5:J404),39))=0,"",INDEX(Log!A:A,SUMPRODUCT(LARGE((Log!J5:J404&lt;&gt;"")*ROW(Log!J5:J404),39)))),"")</f>
        <v/>
      </c>
      <c r="N40" s="118" t="str">
        <f aca="false" t="array" ref="N40:N40">IFERROR(IF(SUMPRODUCT(LARGE((Log!J5:J404&lt;&gt;"")*ROW(Log!J5:J404),39))=0,"",INDEX(Log!J:J,SUMPRODUCT(LARGE((Log!J5:J404&lt;&gt;"")*ROW(Log!J5:J404),39)))),"")</f>
        <v/>
      </c>
      <c r="O40" s="120" t="str">
        <f aca="false">IFERROR(IF(COUNT(N40:N44)&lt;3,"",AVERAGE(N40:N44)),"")</f>
        <v/>
      </c>
      <c r="S40" s="121" t="str">
        <f aca="false">IF(AND(ISNUMBER(I40),OR(C40="Heavy",C40="Test")),I40,"")</f>
        <v/>
      </c>
      <c r="T40" s="121" t="str">
        <f aca="false">IF(AND(ISNUMBER(I40),C40="Volume"),I40,"")</f>
        <v/>
      </c>
    </row>
    <row r="41" customFormat="false" ht="15" hidden="false" customHeight="true" outlineLevel="0" collapsed="false">
      <c r="A41" s="115" t="n">
        <v>40</v>
      </c>
      <c r="B41" s="116" t="str">
        <f aca="false" t="array" ref="B41:B41">IFERROR(IF(SUMPRODUCT(LARGE((Log!B5:B404="Yielding")*ROW(Log!B5:B404),40))=0,"",INDEX(Log!A:A,SUMPRODUCT(LARGE((Log!B5:B404="Yielding")*ROW(Log!B5:B404),40)))),"")</f>
        <v/>
      </c>
      <c r="C41" s="117" t="str">
        <f aca="false" t="array" ref="C41:C41">IFERROR(IF(SUMPRODUCT(LARGE((Log!B5:B404="Yielding")*ROW(Log!B5:B404),40))=0,"",INDEX(Log!D:D,SUMPRODUCT(LARGE((Log!B5:B404="Yielding")*ROW(Log!B5:B404),40)))),"")</f>
        <v/>
      </c>
      <c r="D41" s="118" t="str">
        <f aca="false" t="array" ref="D41:D41">IFERROR(IF(SUMPRODUCT(LARGE((Log!B5:B404="Yielding")*ROW(Log!B5:B404),40))=0,"",INDEX(Log!E:E,SUMPRODUCT(LARGE((Log!B5:B404="Yielding")*ROW(Log!B5:B404),40)))),"")</f>
        <v/>
      </c>
      <c r="E41" s="118" t="str">
        <f aca="false" t="array" ref="E41:E41">IFERROR(IF(SUMPRODUCT(LARGE((Log!B5:B404="Yielding")*ROW(Log!B5:B404),40))=0,"",INDEX(Log!F:F,SUMPRODUCT(LARGE((Log!B5:B404="Yielding")*ROW(Log!B5:B404),40)))),"")</f>
        <v/>
      </c>
      <c r="F41" s="118" t="str">
        <f aca="false" t="array" ref="F41:F41">IFERROR(IF(SUMPRODUCT(LARGE((Log!B5:B404="Yielding")*ROW(Log!B5:B404),40))=0,"",INDEX(Log!M:M,SUMPRODUCT(LARGE((Log!B5:B404="Yielding")*ROW(Log!B5:B404),40)))),"")</f>
        <v/>
      </c>
      <c r="G41" s="118" t="str">
        <f aca="false">IF(AND(ISNUMBER(F41),OR(C41="Heavy",C41="Test")),F41,"")</f>
        <v/>
      </c>
      <c r="H41" s="118" t="str">
        <f aca="false">IF(AND(ISNUMBER(F41),C41="Volume"),F41,"")</f>
        <v/>
      </c>
      <c r="I41" s="119" t="str">
        <f aca="false">IFERROR(IF(F41="","",D41/MAX($F$2:$F$51)*100),"")</f>
        <v/>
      </c>
      <c r="L41" s="115" t="n">
        <v>40</v>
      </c>
      <c r="M41" s="116" t="str">
        <f aca="false" t="array" ref="M41:M41">IFERROR(IF(SUMPRODUCT(LARGE((Log!J5:J404&lt;&gt;"")*ROW(Log!J5:J404),40))=0,"",INDEX(Log!A:A,SUMPRODUCT(LARGE((Log!J5:J404&lt;&gt;"")*ROW(Log!J5:J404),40)))),"")</f>
        <v/>
      </c>
      <c r="N41" s="118" t="str">
        <f aca="false" t="array" ref="N41:N41">IFERROR(IF(SUMPRODUCT(LARGE((Log!J5:J404&lt;&gt;"")*ROW(Log!J5:J404),40))=0,"",INDEX(Log!J:J,SUMPRODUCT(LARGE((Log!J5:J404&lt;&gt;"")*ROW(Log!J5:J404),40)))),"")</f>
        <v/>
      </c>
      <c r="O41" s="120" t="str">
        <f aca="false">IFERROR(IF(COUNT(N41:N45)&lt;3,"",AVERAGE(N41:N45)),"")</f>
        <v/>
      </c>
      <c r="S41" s="121" t="str">
        <f aca="false">IF(AND(ISNUMBER(I41),OR(C41="Heavy",C41="Test")),I41,"")</f>
        <v/>
      </c>
      <c r="T41" s="121" t="str">
        <f aca="false">IF(AND(ISNUMBER(I41),C41="Volume"),I41,"")</f>
        <v/>
      </c>
    </row>
    <row r="42" customFormat="false" ht="15" hidden="false" customHeight="true" outlineLevel="0" collapsed="false">
      <c r="A42" s="115" t="n">
        <v>41</v>
      </c>
      <c r="B42" s="116" t="str">
        <f aca="false" t="array" ref="B42:B42">IFERROR(IF(SUMPRODUCT(LARGE((Log!B5:B404="Yielding")*ROW(Log!B5:B404),41))=0,"",INDEX(Log!A:A,SUMPRODUCT(LARGE((Log!B5:B404="Yielding")*ROW(Log!B5:B404),41)))),"")</f>
        <v/>
      </c>
      <c r="C42" s="117" t="str">
        <f aca="false" t="array" ref="C42:C42">IFERROR(IF(SUMPRODUCT(LARGE((Log!B5:B404="Yielding")*ROW(Log!B5:B404),41))=0,"",INDEX(Log!D:D,SUMPRODUCT(LARGE((Log!B5:B404="Yielding")*ROW(Log!B5:B404),41)))),"")</f>
        <v/>
      </c>
      <c r="D42" s="118" t="str">
        <f aca="false" t="array" ref="D42:D42">IFERROR(IF(SUMPRODUCT(LARGE((Log!B5:B404="Yielding")*ROW(Log!B5:B404),41))=0,"",INDEX(Log!E:E,SUMPRODUCT(LARGE((Log!B5:B404="Yielding")*ROW(Log!B5:B404),41)))),"")</f>
        <v/>
      </c>
      <c r="E42" s="118" t="str">
        <f aca="false" t="array" ref="E42:E42">IFERROR(IF(SUMPRODUCT(LARGE((Log!B5:B404="Yielding")*ROW(Log!B5:B404),41))=0,"",INDEX(Log!F:F,SUMPRODUCT(LARGE((Log!B5:B404="Yielding")*ROW(Log!B5:B404),41)))),"")</f>
        <v/>
      </c>
      <c r="F42" s="118" t="str">
        <f aca="false" t="array" ref="F42:F42">IFERROR(IF(SUMPRODUCT(LARGE((Log!B5:B404="Yielding")*ROW(Log!B5:B404),41))=0,"",INDEX(Log!M:M,SUMPRODUCT(LARGE((Log!B5:B404="Yielding")*ROW(Log!B5:B404),41)))),"")</f>
        <v/>
      </c>
      <c r="G42" s="118" t="str">
        <f aca="false">IF(AND(ISNUMBER(F42),OR(C42="Heavy",C42="Test")),F42,"")</f>
        <v/>
      </c>
      <c r="H42" s="118" t="str">
        <f aca="false">IF(AND(ISNUMBER(F42),C42="Volume"),F42,"")</f>
        <v/>
      </c>
      <c r="I42" s="119" t="str">
        <f aca="false">IFERROR(IF(F42="","",D42/MAX($F$2:$F$51)*100),"")</f>
        <v/>
      </c>
      <c r="L42" s="115" t="n">
        <v>41</v>
      </c>
      <c r="M42" s="116" t="str">
        <f aca="false" t="array" ref="M42:M42">IFERROR(IF(SUMPRODUCT(LARGE((Log!J5:J404&lt;&gt;"")*ROW(Log!J5:J404),41))=0,"",INDEX(Log!A:A,SUMPRODUCT(LARGE((Log!J5:J404&lt;&gt;"")*ROW(Log!J5:J404),41)))),"")</f>
        <v/>
      </c>
      <c r="N42" s="118" t="str">
        <f aca="false" t="array" ref="N42:N42">IFERROR(IF(SUMPRODUCT(LARGE((Log!J5:J404&lt;&gt;"")*ROW(Log!J5:J404),41))=0,"",INDEX(Log!J:J,SUMPRODUCT(LARGE((Log!J5:J404&lt;&gt;"")*ROW(Log!J5:J404),41)))),"")</f>
        <v/>
      </c>
      <c r="O42" s="120" t="str">
        <f aca="false">IFERROR(IF(COUNT(N42:N46)&lt;3,"",AVERAGE(N42:N46)),"")</f>
        <v/>
      </c>
      <c r="S42" s="121" t="str">
        <f aca="false">IF(AND(ISNUMBER(I42),OR(C42="Heavy",C42="Test")),I42,"")</f>
        <v/>
      </c>
      <c r="T42" s="121" t="str">
        <f aca="false">IF(AND(ISNUMBER(I42),C42="Volume"),I42,"")</f>
        <v/>
      </c>
    </row>
    <row r="43" customFormat="false" ht="15" hidden="false" customHeight="true" outlineLevel="0" collapsed="false">
      <c r="A43" s="115" t="n">
        <v>42</v>
      </c>
      <c r="B43" s="116" t="str">
        <f aca="false" t="array" ref="B43:B43">IFERROR(IF(SUMPRODUCT(LARGE((Log!B5:B404="Yielding")*ROW(Log!B5:B404),42))=0,"",INDEX(Log!A:A,SUMPRODUCT(LARGE((Log!B5:B404="Yielding")*ROW(Log!B5:B404),42)))),"")</f>
        <v/>
      </c>
      <c r="C43" s="117" t="str">
        <f aca="false" t="array" ref="C43:C43">IFERROR(IF(SUMPRODUCT(LARGE((Log!B5:B404="Yielding")*ROW(Log!B5:B404),42))=0,"",INDEX(Log!D:D,SUMPRODUCT(LARGE((Log!B5:B404="Yielding")*ROW(Log!B5:B404),42)))),"")</f>
        <v/>
      </c>
      <c r="D43" s="118" t="str">
        <f aca="false" t="array" ref="D43:D43">IFERROR(IF(SUMPRODUCT(LARGE((Log!B5:B404="Yielding")*ROW(Log!B5:B404),42))=0,"",INDEX(Log!E:E,SUMPRODUCT(LARGE((Log!B5:B404="Yielding")*ROW(Log!B5:B404),42)))),"")</f>
        <v/>
      </c>
      <c r="E43" s="118" t="str">
        <f aca="false" t="array" ref="E43:E43">IFERROR(IF(SUMPRODUCT(LARGE((Log!B5:B404="Yielding")*ROW(Log!B5:B404),42))=0,"",INDEX(Log!F:F,SUMPRODUCT(LARGE((Log!B5:B404="Yielding")*ROW(Log!B5:B404),42)))),"")</f>
        <v/>
      </c>
      <c r="F43" s="118" t="str">
        <f aca="false" t="array" ref="F43:F43">IFERROR(IF(SUMPRODUCT(LARGE((Log!B5:B404="Yielding")*ROW(Log!B5:B404),42))=0,"",INDEX(Log!M:M,SUMPRODUCT(LARGE((Log!B5:B404="Yielding")*ROW(Log!B5:B404),42)))),"")</f>
        <v/>
      </c>
      <c r="G43" s="118" t="str">
        <f aca="false">IF(AND(ISNUMBER(F43),OR(C43="Heavy",C43="Test")),F43,"")</f>
        <v/>
      </c>
      <c r="H43" s="118" t="str">
        <f aca="false">IF(AND(ISNUMBER(F43),C43="Volume"),F43,"")</f>
        <v/>
      </c>
      <c r="I43" s="119" t="str">
        <f aca="false">IFERROR(IF(F43="","",D43/MAX($F$2:$F$51)*100),"")</f>
        <v/>
      </c>
      <c r="L43" s="115" t="n">
        <v>42</v>
      </c>
      <c r="M43" s="116" t="str">
        <f aca="false" t="array" ref="M43:M43">IFERROR(IF(SUMPRODUCT(LARGE((Log!J5:J404&lt;&gt;"")*ROW(Log!J5:J404),42))=0,"",INDEX(Log!A:A,SUMPRODUCT(LARGE((Log!J5:J404&lt;&gt;"")*ROW(Log!J5:J404),42)))),"")</f>
        <v/>
      </c>
      <c r="N43" s="118" t="str">
        <f aca="false" t="array" ref="N43:N43">IFERROR(IF(SUMPRODUCT(LARGE((Log!J5:J404&lt;&gt;"")*ROW(Log!J5:J404),42))=0,"",INDEX(Log!J:J,SUMPRODUCT(LARGE((Log!J5:J404&lt;&gt;"")*ROW(Log!J5:J404),42)))),"")</f>
        <v/>
      </c>
      <c r="O43" s="120" t="str">
        <f aca="false">IFERROR(IF(COUNT(N43:N47)&lt;3,"",AVERAGE(N43:N47)),"")</f>
        <v/>
      </c>
      <c r="S43" s="121" t="str">
        <f aca="false">IF(AND(ISNUMBER(I43),OR(C43="Heavy",C43="Test")),I43,"")</f>
        <v/>
      </c>
      <c r="T43" s="121" t="str">
        <f aca="false">IF(AND(ISNUMBER(I43),C43="Volume"),I43,"")</f>
        <v/>
      </c>
    </row>
    <row r="44" customFormat="false" ht="15" hidden="false" customHeight="true" outlineLevel="0" collapsed="false">
      <c r="A44" s="115" t="n">
        <v>43</v>
      </c>
      <c r="B44" s="116" t="str">
        <f aca="false" t="array" ref="B44:B44">IFERROR(IF(SUMPRODUCT(LARGE((Log!B5:B404="Yielding")*ROW(Log!B5:B404),43))=0,"",INDEX(Log!A:A,SUMPRODUCT(LARGE((Log!B5:B404="Yielding")*ROW(Log!B5:B404),43)))),"")</f>
        <v/>
      </c>
      <c r="C44" s="117" t="str">
        <f aca="false" t="array" ref="C44:C44">IFERROR(IF(SUMPRODUCT(LARGE((Log!B5:B404="Yielding")*ROW(Log!B5:B404),43))=0,"",INDEX(Log!D:D,SUMPRODUCT(LARGE((Log!B5:B404="Yielding")*ROW(Log!B5:B404),43)))),"")</f>
        <v/>
      </c>
      <c r="D44" s="118" t="str">
        <f aca="false" t="array" ref="D44:D44">IFERROR(IF(SUMPRODUCT(LARGE((Log!B5:B404="Yielding")*ROW(Log!B5:B404),43))=0,"",INDEX(Log!E:E,SUMPRODUCT(LARGE((Log!B5:B404="Yielding")*ROW(Log!B5:B404),43)))),"")</f>
        <v/>
      </c>
      <c r="E44" s="118" t="str">
        <f aca="false" t="array" ref="E44:E44">IFERROR(IF(SUMPRODUCT(LARGE((Log!B5:B404="Yielding")*ROW(Log!B5:B404),43))=0,"",INDEX(Log!F:F,SUMPRODUCT(LARGE((Log!B5:B404="Yielding")*ROW(Log!B5:B404),43)))),"")</f>
        <v/>
      </c>
      <c r="F44" s="118" t="str">
        <f aca="false" t="array" ref="F44:F44">IFERROR(IF(SUMPRODUCT(LARGE((Log!B5:B404="Yielding")*ROW(Log!B5:B404),43))=0,"",INDEX(Log!M:M,SUMPRODUCT(LARGE((Log!B5:B404="Yielding")*ROW(Log!B5:B404),43)))),"")</f>
        <v/>
      </c>
      <c r="G44" s="118" t="str">
        <f aca="false">IF(AND(ISNUMBER(F44),OR(C44="Heavy",C44="Test")),F44,"")</f>
        <v/>
      </c>
      <c r="H44" s="118" t="str">
        <f aca="false">IF(AND(ISNUMBER(F44),C44="Volume"),F44,"")</f>
        <v/>
      </c>
      <c r="I44" s="119" t="str">
        <f aca="false">IFERROR(IF(F44="","",D44/MAX($F$2:$F$51)*100),"")</f>
        <v/>
      </c>
      <c r="L44" s="115" t="n">
        <v>43</v>
      </c>
      <c r="M44" s="116" t="str">
        <f aca="false" t="array" ref="M44:M44">IFERROR(IF(SUMPRODUCT(LARGE((Log!J5:J404&lt;&gt;"")*ROW(Log!J5:J404),43))=0,"",INDEX(Log!A:A,SUMPRODUCT(LARGE((Log!J5:J404&lt;&gt;"")*ROW(Log!J5:J404),43)))),"")</f>
        <v/>
      </c>
      <c r="N44" s="118" t="str">
        <f aca="false" t="array" ref="N44:N44">IFERROR(IF(SUMPRODUCT(LARGE((Log!J5:J404&lt;&gt;"")*ROW(Log!J5:J404),43))=0,"",INDEX(Log!J:J,SUMPRODUCT(LARGE((Log!J5:J404&lt;&gt;"")*ROW(Log!J5:J404),43)))),"")</f>
        <v/>
      </c>
      <c r="O44" s="120" t="str">
        <f aca="false">IFERROR(IF(COUNT(N44:N48)&lt;3,"",AVERAGE(N44:N48)),"")</f>
        <v/>
      </c>
      <c r="S44" s="121" t="str">
        <f aca="false">IF(AND(ISNUMBER(I44),OR(C44="Heavy",C44="Test")),I44,"")</f>
        <v/>
      </c>
      <c r="T44" s="121" t="str">
        <f aca="false">IF(AND(ISNUMBER(I44),C44="Volume"),I44,"")</f>
        <v/>
      </c>
    </row>
    <row r="45" customFormat="false" ht="15" hidden="false" customHeight="true" outlineLevel="0" collapsed="false">
      <c r="A45" s="115" t="n">
        <v>44</v>
      </c>
      <c r="B45" s="116" t="str">
        <f aca="false" t="array" ref="B45:B45">IFERROR(IF(SUMPRODUCT(LARGE((Log!B5:B404="Yielding")*ROW(Log!B5:B404),44))=0,"",INDEX(Log!A:A,SUMPRODUCT(LARGE((Log!B5:B404="Yielding")*ROW(Log!B5:B404),44)))),"")</f>
        <v/>
      </c>
      <c r="C45" s="117" t="str">
        <f aca="false" t="array" ref="C45:C45">IFERROR(IF(SUMPRODUCT(LARGE((Log!B5:B404="Yielding")*ROW(Log!B5:B404),44))=0,"",INDEX(Log!D:D,SUMPRODUCT(LARGE((Log!B5:B404="Yielding")*ROW(Log!B5:B404),44)))),"")</f>
        <v/>
      </c>
      <c r="D45" s="118" t="str">
        <f aca="false" t="array" ref="D45:D45">IFERROR(IF(SUMPRODUCT(LARGE((Log!B5:B404="Yielding")*ROW(Log!B5:B404),44))=0,"",INDEX(Log!E:E,SUMPRODUCT(LARGE((Log!B5:B404="Yielding")*ROW(Log!B5:B404),44)))),"")</f>
        <v/>
      </c>
      <c r="E45" s="118" t="str">
        <f aca="false" t="array" ref="E45:E45">IFERROR(IF(SUMPRODUCT(LARGE((Log!B5:B404="Yielding")*ROW(Log!B5:B404),44))=0,"",INDEX(Log!F:F,SUMPRODUCT(LARGE((Log!B5:B404="Yielding")*ROW(Log!B5:B404),44)))),"")</f>
        <v/>
      </c>
      <c r="F45" s="118" t="str">
        <f aca="false" t="array" ref="F45:F45">IFERROR(IF(SUMPRODUCT(LARGE((Log!B5:B404="Yielding")*ROW(Log!B5:B404),44))=0,"",INDEX(Log!M:M,SUMPRODUCT(LARGE((Log!B5:B404="Yielding")*ROW(Log!B5:B404),44)))),"")</f>
        <v/>
      </c>
      <c r="G45" s="118" t="str">
        <f aca="false">IF(AND(ISNUMBER(F45),OR(C45="Heavy",C45="Test")),F45,"")</f>
        <v/>
      </c>
      <c r="H45" s="118" t="str">
        <f aca="false">IF(AND(ISNUMBER(F45),C45="Volume"),F45,"")</f>
        <v/>
      </c>
      <c r="I45" s="119" t="str">
        <f aca="false">IFERROR(IF(F45="","",D45/MAX($F$2:$F$51)*100),"")</f>
        <v/>
      </c>
      <c r="L45" s="115" t="n">
        <v>44</v>
      </c>
      <c r="M45" s="116" t="str">
        <f aca="false" t="array" ref="M45:M45">IFERROR(IF(SUMPRODUCT(LARGE((Log!J5:J404&lt;&gt;"")*ROW(Log!J5:J404),44))=0,"",INDEX(Log!A:A,SUMPRODUCT(LARGE((Log!J5:J404&lt;&gt;"")*ROW(Log!J5:J404),44)))),"")</f>
        <v/>
      </c>
      <c r="N45" s="118" t="str">
        <f aca="false" t="array" ref="N45:N45">IFERROR(IF(SUMPRODUCT(LARGE((Log!J5:J404&lt;&gt;"")*ROW(Log!J5:J404),44))=0,"",INDEX(Log!J:J,SUMPRODUCT(LARGE((Log!J5:J404&lt;&gt;"")*ROW(Log!J5:J404),44)))),"")</f>
        <v/>
      </c>
      <c r="O45" s="120" t="str">
        <f aca="false">IFERROR(IF(COUNT(N45:N49)&lt;3,"",AVERAGE(N45:N49)),"")</f>
        <v/>
      </c>
      <c r="S45" s="121" t="str">
        <f aca="false">IF(AND(ISNUMBER(I45),OR(C45="Heavy",C45="Test")),I45,"")</f>
        <v/>
      </c>
      <c r="T45" s="121" t="str">
        <f aca="false">IF(AND(ISNUMBER(I45),C45="Volume"),I45,"")</f>
        <v/>
      </c>
    </row>
    <row r="46" customFormat="false" ht="15" hidden="false" customHeight="true" outlineLevel="0" collapsed="false">
      <c r="A46" s="115" t="n">
        <v>45</v>
      </c>
      <c r="B46" s="116" t="str">
        <f aca="false" t="array" ref="B46:B46">IFERROR(IF(SUMPRODUCT(LARGE((Log!B5:B404="Yielding")*ROW(Log!B5:B404),45))=0,"",INDEX(Log!A:A,SUMPRODUCT(LARGE((Log!B5:B404="Yielding")*ROW(Log!B5:B404),45)))),"")</f>
        <v/>
      </c>
      <c r="C46" s="117" t="str">
        <f aca="false" t="array" ref="C46:C46">IFERROR(IF(SUMPRODUCT(LARGE((Log!B5:B404="Yielding")*ROW(Log!B5:B404),45))=0,"",INDEX(Log!D:D,SUMPRODUCT(LARGE((Log!B5:B404="Yielding")*ROW(Log!B5:B404),45)))),"")</f>
        <v/>
      </c>
      <c r="D46" s="118" t="str">
        <f aca="false" t="array" ref="D46:D46">IFERROR(IF(SUMPRODUCT(LARGE((Log!B5:B404="Yielding")*ROW(Log!B5:B404),45))=0,"",INDEX(Log!E:E,SUMPRODUCT(LARGE((Log!B5:B404="Yielding")*ROW(Log!B5:B404),45)))),"")</f>
        <v/>
      </c>
      <c r="E46" s="118" t="str">
        <f aca="false" t="array" ref="E46:E46">IFERROR(IF(SUMPRODUCT(LARGE((Log!B5:B404="Yielding")*ROW(Log!B5:B404),45))=0,"",INDEX(Log!F:F,SUMPRODUCT(LARGE((Log!B5:B404="Yielding")*ROW(Log!B5:B404),45)))),"")</f>
        <v/>
      </c>
      <c r="F46" s="118" t="str">
        <f aca="false" t="array" ref="F46:F46">IFERROR(IF(SUMPRODUCT(LARGE((Log!B5:B404="Yielding")*ROW(Log!B5:B404),45))=0,"",INDEX(Log!M:M,SUMPRODUCT(LARGE((Log!B5:B404="Yielding")*ROW(Log!B5:B404),45)))),"")</f>
        <v/>
      </c>
      <c r="G46" s="118" t="str">
        <f aca="false">IF(AND(ISNUMBER(F46),OR(C46="Heavy",C46="Test")),F46,"")</f>
        <v/>
      </c>
      <c r="H46" s="118" t="str">
        <f aca="false">IF(AND(ISNUMBER(F46),C46="Volume"),F46,"")</f>
        <v/>
      </c>
      <c r="I46" s="119" t="str">
        <f aca="false">IFERROR(IF(F46="","",D46/MAX($F$2:$F$51)*100),"")</f>
        <v/>
      </c>
      <c r="L46" s="115" t="n">
        <v>45</v>
      </c>
      <c r="M46" s="116" t="str">
        <f aca="false" t="array" ref="M46:M46">IFERROR(IF(SUMPRODUCT(LARGE((Log!J5:J404&lt;&gt;"")*ROW(Log!J5:J404),45))=0,"",INDEX(Log!A:A,SUMPRODUCT(LARGE((Log!J5:J404&lt;&gt;"")*ROW(Log!J5:J404),45)))),"")</f>
        <v/>
      </c>
      <c r="N46" s="118" t="str">
        <f aca="false" t="array" ref="N46:N46">IFERROR(IF(SUMPRODUCT(LARGE((Log!J5:J404&lt;&gt;"")*ROW(Log!J5:J404),45))=0,"",INDEX(Log!J:J,SUMPRODUCT(LARGE((Log!J5:J404&lt;&gt;"")*ROW(Log!J5:J404),45)))),"")</f>
        <v/>
      </c>
      <c r="O46" s="120" t="str">
        <f aca="false">IFERROR(IF(COUNT(N46:N50)&lt;3,"",AVERAGE(N46:N50)),"")</f>
        <v/>
      </c>
      <c r="S46" s="121" t="str">
        <f aca="false">IF(AND(ISNUMBER(I46),OR(C46="Heavy",C46="Test")),I46,"")</f>
        <v/>
      </c>
      <c r="T46" s="121" t="str">
        <f aca="false">IF(AND(ISNUMBER(I46),C46="Volume"),I46,"")</f>
        <v/>
      </c>
    </row>
    <row r="47" customFormat="false" ht="15" hidden="false" customHeight="true" outlineLevel="0" collapsed="false">
      <c r="A47" s="115" t="n">
        <v>46</v>
      </c>
      <c r="B47" s="116" t="str">
        <f aca="false" t="array" ref="B47:B47">IFERROR(IF(SUMPRODUCT(LARGE((Log!B5:B404="Yielding")*ROW(Log!B5:B404),46))=0,"",INDEX(Log!A:A,SUMPRODUCT(LARGE((Log!B5:B404="Yielding")*ROW(Log!B5:B404),46)))),"")</f>
        <v/>
      </c>
      <c r="C47" s="117" t="str">
        <f aca="false" t="array" ref="C47:C47">IFERROR(IF(SUMPRODUCT(LARGE((Log!B5:B404="Yielding")*ROW(Log!B5:B404),46))=0,"",INDEX(Log!D:D,SUMPRODUCT(LARGE((Log!B5:B404="Yielding")*ROW(Log!B5:B404),46)))),"")</f>
        <v/>
      </c>
      <c r="D47" s="118" t="str">
        <f aca="false" t="array" ref="D47:D47">IFERROR(IF(SUMPRODUCT(LARGE((Log!B5:B404="Yielding")*ROW(Log!B5:B404),46))=0,"",INDEX(Log!E:E,SUMPRODUCT(LARGE((Log!B5:B404="Yielding")*ROW(Log!B5:B404),46)))),"")</f>
        <v/>
      </c>
      <c r="E47" s="118" t="str">
        <f aca="false" t="array" ref="E47:E47">IFERROR(IF(SUMPRODUCT(LARGE((Log!B5:B404="Yielding")*ROW(Log!B5:B404),46))=0,"",INDEX(Log!F:F,SUMPRODUCT(LARGE((Log!B5:B404="Yielding")*ROW(Log!B5:B404),46)))),"")</f>
        <v/>
      </c>
      <c r="F47" s="118" t="str">
        <f aca="false" t="array" ref="F47:F47">IFERROR(IF(SUMPRODUCT(LARGE((Log!B5:B404="Yielding")*ROW(Log!B5:B404),46))=0,"",INDEX(Log!M:M,SUMPRODUCT(LARGE((Log!B5:B404="Yielding")*ROW(Log!B5:B404),46)))),"")</f>
        <v/>
      </c>
      <c r="G47" s="118" t="str">
        <f aca="false">IF(AND(ISNUMBER(F47),OR(C47="Heavy",C47="Test")),F47,"")</f>
        <v/>
      </c>
      <c r="H47" s="118" t="str">
        <f aca="false">IF(AND(ISNUMBER(F47),C47="Volume"),F47,"")</f>
        <v/>
      </c>
      <c r="I47" s="119" t="str">
        <f aca="false">IFERROR(IF(F47="","",D47/MAX($F$2:$F$51)*100),"")</f>
        <v/>
      </c>
      <c r="L47" s="115" t="n">
        <v>46</v>
      </c>
      <c r="M47" s="116" t="str">
        <f aca="false" t="array" ref="M47:M47">IFERROR(IF(SUMPRODUCT(LARGE((Log!J5:J404&lt;&gt;"")*ROW(Log!J5:J404),46))=0,"",INDEX(Log!A:A,SUMPRODUCT(LARGE((Log!J5:J404&lt;&gt;"")*ROW(Log!J5:J404),46)))),"")</f>
        <v/>
      </c>
      <c r="N47" s="118" t="str">
        <f aca="false" t="array" ref="N47:N47">IFERROR(IF(SUMPRODUCT(LARGE((Log!J5:J404&lt;&gt;"")*ROW(Log!J5:J404),46))=0,"",INDEX(Log!J:J,SUMPRODUCT(LARGE((Log!J5:J404&lt;&gt;"")*ROW(Log!J5:J404),46)))),"")</f>
        <v/>
      </c>
      <c r="O47" s="120" t="str">
        <f aca="false">IFERROR(IF(COUNT(N47:N51)&lt;3,"",AVERAGE(N47:N51)),"")</f>
        <v/>
      </c>
      <c r="S47" s="121" t="str">
        <f aca="false">IF(AND(ISNUMBER(I47),OR(C47="Heavy",C47="Test")),I47,"")</f>
        <v/>
      </c>
      <c r="T47" s="121" t="str">
        <f aca="false">IF(AND(ISNUMBER(I47),C47="Volume"),I47,"")</f>
        <v/>
      </c>
    </row>
    <row r="48" customFormat="false" ht="15" hidden="false" customHeight="true" outlineLevel="0" collapsed="false">
      <c r="A48" s="115" t="n">
        <v>47</v>
      </c>
      <c r="B48" s="116" t="str">
        <f aca="false" t="array" ref="B48:B48">IFERROR(IF(SUMPRODUCT(LARGE((Log!B5:B404="Yielding")*ROW(Log!B5:B404),47))=0,"",INDEX(Log!A:A,SUMPRODUCT(LARGE((Log!B5:B404="Yielding")*ROW(Log!B5:B404),47)))),"")</f>
        <v/>
      </c>
      <c r="C48" s="117" t="str">
        <f aca="false" t="array" ref="C48:C48">IFERROR(IF(SUMPRODUCT(LARGE((Log!B5:B404="Yielding")*ROW(Log!B5:B404),47))=0,"",INDEX(Log!D:D,SUMPRODUCT(LARGE((Log!B5:B404="Yielding")*ROW(Log!B5:B404),47)))),"")</f>
        <v/>
      </c>
      <c r="D48" s="118" t="str">
        <f aca="false" t="array" ref="D48:D48">IFERROR(IF(SUMPRODUCT(LARGE((Log!B5:B404="Yielding")*ROW(Log!B5:B404),47))=0,"",INDEX(Log!E:E,SUMPRODUCT(LARGE((Log!B5:B404="Yielding")*ROW(Log!B5:B404),47)))),"")</f>
        <v/>
      </c>
      <c r="E48" s="118" t="str">
        <f aca="false" t="array" ref="E48:E48">IFERROR(IF(SUMPRODUCT(LARGE((Log!B5:B404="Yielding")*ROW(Log!B5:B404),47))=0,"",INDEX(Log!F:F,SUMPRODUCT(LARGE((Log!B5:B404="Yielding")*ROW(Log!B5:B404),47)))),"")</f>
        <v/>
      </c>
      <c r="F48" s="118" t="str">
        <f aca="false" t="array" ref="F48:F48">IFERROR(IF(SUMPRODUCT(LARGE((Log!B5:B404="Yielding")*ROW(Log!B5:B404),47))=0,"",INDEX(Log!M:M,SUMPRODUCT(LARGE((Log!B5:B404="Yielding")*ROW(Log!B5:B404),47)))),"")</f>
        <v/>
      </c>
      <c r="G48" s="118" t="str">
        <f aca="false">IF(AND(ISNUMBER(F48),OR(C48="Heavy",C48="Test")),F48,"")</f>
        <v/>
      </c>
      <c r="H48" s="118" t="str">
        <f aca="false">IF(AND(ISNUMBER(F48),C48="Volume"),F48,"")</f>
        <v/>
      </c>
      <c r="I48" s="119" t="str">
        <f aca="false">IFERROR(IF(F48="","",D48/MAX($F$2:$F$51)*100),"")</f>
        <v/>
      </c>
      <c r="L48" s="115" t="n">
        <v>47</v>
      </c>
      <c r="M48" s="116" t="str">
        <f aca="false" t="array" ref="M48:M48">IFERROR(IF(SUMPRODUCT(LARGE((Log!J5:J404&lt;&gt;"")*ROW(Log!J5:J404),47))=0,"",INDEX(Log!A:A,SUMPRODUCT(LARGE((Log!J5:J404&lt;&gt;"")*ROW(Log!J5:J404),47)))),"")</f>
        <v/>
      </c>
      <c r="N48" s="118" t="str">
        <f aca="false" t="array" ref="N48:N48">IFERROR(IF(SUMPRODUCT(LARGE((Log!J5:J404&lt;&gt;"")*ROW(Log!J5:J404),47))=0,"",INDEX(Log!J:J,SUMPRODUCT(LARGE((Log!J5:J404&lt;&gt;"")*ROW(Log!J5:J404),47)))),"")</f>
        <v/>
      </c>
      <c r="O48" s="120" t="str">
        <f aca="false">IFERROR(IF(COUNT(N48:N52)&lt;3,"",AVERAGE(N48:N52)),"")</f>
        <v/>
      </c>
      <c r="S48" s="121" t="str">
        <f aca="false">IF(AND(ISNUMBER(I48),OR(C48="Heavy",C48="Test")),I48,"")</f>
        <v/>
      </c>
      <c r="T48" s="121" t="str">
        <f aca="false">IF(AND(ISNUMBER(I48),C48="Volume"),I48,"")</f>
        <v/>
      </c>
    </row>
    <row r="49" customFormat="false" ht="15" hidden="false" customHeight="true" outlineLevel="0" collapsed="false">
      <c r="A49" s="115" t="n">
        <v>48</v>
      </c>
      <c r="B49" s="116" t="str">
        <f aca="false" t="array" ref="B49:B49">IFERROR(IF(SUMPRODUCT(LARGE((Log!B5:B404="Yielding")*ROW(Log!B5:B404),48))=0,"",INDEX(Log!A:A,SUMPRODUCT(LARGE((Log!B5:B404="Yielding")*ROW(Log!B5:B404),48)))),"")</f>
        <v/>
      </c>
      <c r="C49" s="117" t="str">
        <f aca="false" t="array" ref="C49:C49">IFERROR(IF(SUMPRODUCT(LARGE((Log!B5:B404="Yielding")*ROW(Log!B5:B404),48))=0,"",INDEX(Log!D:D,SUMPRODUCT(LARGE((Log!B5:B404="Yielding")*ROW(Log!B5:B404),48)))),"")</f>
        <v/>
      </c>
      <c r="D49" s="118" t="str">
        <f aca="false" t="array" ref="D49:D49">IFERROR(IF(SUMPRODUCT(LARGE((Log!B5:B404="Yielding")*ROW(Log!B5:B404),48))=0,"",INDEX(Log!E:E,SUMPRODUCT(LARGE((Log!B5:B404="Yielding")*ROW(Log!B5:B404),48)))),"")</f>
        <v/>
      </c>
      <c r="E49" s="118" t="str">
        <f aca="false" t="array" ref="E49:E49">IFERROR(IF(SUMPRODUCT(LARGE((Log!B5:B404="Yielding")*ROW(Log!B5:B404),48))=0,"",INDEX(Log!F:F,SUMPRODUCT(LARGE((Log!B5:B404="Yielding")*ROW(Log!B5:B404),48)))),"")</f>
        <v/>
      </c>
      <c r="F49" s="118" t="str">
        <f aca="false" t="array" ref="F49:F49">IFERROR(IF(SUMPRODUCT(LARGE((Log!B5:B404="Yielding")*ROW(Log!B5:B404),48))=0,"",INDEX(Log!M:M,SUMPRODUCT(LARGE((Log!B5:B404="Yielding")*ROW(Log!B5:B404),48)))),"")</f>
        <v/>
      </c>
      <c r="G49" s="118" t="str">
        <f aca="false">IF(AND(ISNUMBER(F49),OR(C49="Heavy",C49="Test")),F49,"")</f>
        <v/>
      </c>
      <c r="H49" s="118" t="str">
        <f aca="false">IF(AND(ISNUMBER(F49),C49="Volume"),F49,"")</f>
        <v/>
      </c>
      <c r="I49" s="119" t="str">
        <f aca="false">IFERROR(IF(F49="","",D49/MAX($F$2:$F$51)*100),"")</f>
        <v/>
      </c>
      <c r="L49" s="115" t="n">
        <v>48</v>
      </c>
      <c r="M49" s="116" t="str">
        <f aca="false" t="array" ref="M49:M49">IFERROR(IF(SUMPRODUCT(LARGE((Log!J5:J404&lt;&gt;"")*ROW(Log!J5:J404),48))=0,"",INDEX(Log!A:A,SUMPRODUCT(LARGE((Log!J5:J404&lt;&gt;"")*ROW(Log!J5:J404),48)))),"")</f>
        <v/>
      </c>
      <c r="N49" s="118" t="str">
        <f aca="false" t="array" ref="N49:N49">IFERROR(IF(SUMPRODUCT(LARGE((Log!J5:J404&lt;&gt;"")*ROW(Log!J5:J404),48))=0,"",INDEX(Log!J:J,SUMPRODUCT(LARGE((Log!J5:J404&lt;&gt;"")*ROW(Log!J5:J404),48)))),"")</f>
        <v/>
      </c>
      <c r="O49" s="120" t="str">
        <f aca="false">IFERROR(IF(COUNT(N49:N53)&lt;3,"",AVERAGE(N49:N53)),"")</f>
        <v/>
      </c>
      <c r="S49" s="121" t="str">
        <f aca="false">IF(AND(ISNUMBER(I49),OR(C49="Heavy",C49="Test")),I49,"")</f>
        <v/>
      </c>
      <c r="T49" s="121" t="str">
        <f aca="false">IF(AND(ISNUMBER(I49),C49="Volume"),I49,"")</f>
        <v/>
      </c>
    </row>
    <row r="50" customFormat="false" ht="15" hidden="false" customHeight="true" outlineLevel="0" collapsed="false">
      <c r="A50" s="115" t="n">
        <v>49</v>
      </c>
      <c r="B50" s="116" t="str">
        <f aca="false" t="array" ref="B50:B50">IFERROR(IF(SUMPRODUCT(LARGE((Log!B5:B404="Yielding")*ROW(Log!B5:B404),49))=0,"",INDEX(Log!A:A,SUMPRODUCT(LARGE((Log!B5:B404="Yielding")*ROW(Log!B5:B404),49)))),"")</f>
        <v/>
      </c>
      <c r="C50" s="117" t="str">
        <f aca="false" t="array" ref="C50:C50">IFERROR(IF(SUMPRODUCT(LARGE((Log!B5:B404="Yielding")*ROW(Log!B5:B404),49))=0,"",INDEX(Log!D:D,SUMPRODUCT(LARGE((Log!B5:B404="Yielding")*ROW(Log!B5:B404),49)))),"")</f>
        <v/>
      </c>
      <c r="D50" s="118" t="str">
        <f aca="false" t="array" ref="D50:D50">IFERROR(IF(SUMPRODUCT(LARGE((Log!B5:B404="Yielding")*ROW(Log!B5:B404),49))=0,"",INDEX(Log!E:E,SUMPRODUCT(LARGE((Log!B5:B404="Yielding")*ROW(Log!B5:B404),49)))),"")</f>
        <v/>
      </c>
      <c r="E50" s="118" t="str">
        <f aca="false" t="array" ref="E50:E50">IFERROR(IF(SUMPRODUCT(LARGE((Log!B5:B404="Yielding")*ROW(Log!B5:B404),49))=0,"",INDEX(Log!F:F,SUMPRODUCT(LARGE((Log!B5:B404="Yielding")*ROW(Log!B5:B404),49)))),"")</f>
        <v/>
      </c>
      <c r="F50" s="118" t="str">
        <f aca="false" t="array" ref="F50:F50">IFERROR(IF(SUMPRODUCT(LARGE((Log!B5:B404="Yielding")*ROW(Log!B5:B404),49))=0,"",INDEX(Log!M:M,SUMPRODUCT(LARGE((Log!B5:B404="Yielding")*ROW(Log!B5:B404),49)))),"")</f>
        <v/>
      </c>
      <c r="G50" s="118" t="str">
        <f aca="false">IF(AND(ISNUMBER(F50),OR(C50="Heavy",C50="Test")),F50,"")</f>
        <v/>
      </c>
      <c r="H50" s="118" t="str">
        <f aca="false">IF(AND(ISNUMBER(F50),C50="Volume"),F50,"")</f>
        <v/>
      </c>
      <c r="I50" s="119" t="str">
        <f aca="false">IFERROR(IF(F50="","",D50/MAX($F$2:$F$51)*100),"")</f>
        <v/>
      </c>
      <c r="L50" s="115" t="n">
        <v>49</v>
      </c>
      <c r="M50" s="116" t="str">
        <f aca="false" t="array" ref="M50:M50">IFERROR(IF(SUMPRODUCT(LARGE((Log!J5:J404&lt;&gt;"")*ROW(Log!J5:J404),49))=0,"",INDEX(Log!A:A,SUMPRODUCT(LARGE((Log!J5:J404&lt;&gt;"")*ROW(Log!J5:J404),49)))),"")</f>
        <v/>
      </c>
      <c r="N50" s="118" t="str">
        <f aca="false" t="array" ref="N50:N50">IFERROR(IF(SUMPRODUCT(LARGE((Log!J5:J404&lt;&gt;"")*ROW(Log!J5:J404),49))=0,"",INDEX(Log!J:J,SUMPRODUCT(LARGE((Log!J5:J404&lt;&gt;"")*ROW(Log!J5:J404),49)))),"")</f>
        <v/>
      </c>
      <c r="O50" s="120" t="str">
        <f aca="false">IFERROR(IF(COUNT(N50:N54)&lt;3,"",AVERAGE(N50:N54)),"")</f>
        <v/>
      </c>
      <c r="S50" s="121" t="str">
        <f aca="false">IF(AND(ISNUMBER(I50),OR(C50="Heavy",C50="Test")),I50,"")</f>
        <v/>
      </c>
      <c r="T50" s="121" t="str">
        <f aca="false">IF(AND(ISNUMBER(I50),C50="Volume"),I50,"")</f>
        <v/>
      </c>
    </row>
    <row r="51" customFormat="false" ht="15" hidden="false" customHeight="true" outlineLevel="0" collapsed="false">
      <c r="A51" s="115" t="n">
        <v>50</v>
      </c>
      <c r="B51" s="116" t="str">
        <f aca="false" t="array" ref="B51:B51">IFERROR(IF(SUMPRODUCT(LARGE((Log!B5:B404="Yielding")*ROW(Log!B5:B404),50))=0,"",INDEX(Log!A:A,SUMPRODUCT(LARGE((Log!B5:B404="Yielding")*ROW(Log!B5:B404),50)))),"")</f>
        <v/>
      </c>
      <c r="C51" s="117" t="str">
        <f aca="false" t="array" ref="C51:C51">IFERROR(IF(SUMPRODUCT(LARGE((Log!B5:B404="Yielding")*ROW(Log!B5:B404),50))=0,"",INDEX(Log!D:D,SUMPRODUCT(LARGE((Log!B5:B404="Yielding")*ROW(Log!B5:B404),50)))),"")</f>
        <v/>
      </c>
      <c r="D51" s="118" t="str">
        <f aca="false" t="array" ref="D51:D51">IFERROR(IF(SUMPRODUCT(LARGE((Log!B5:B404="Yielding")*ROW(Log!B5:B404),50))=0,"",INDEX(Log!E:E,SUMPRODUCT(LARGE((Log!B5:B404="Yielding")*ROW(Log!B5:B404),50)))),"")</f>
        <v/>
      </c>
      <c r="E51" s="118" t="str">
        <f aca="false" t="array" ref="E51:E51">IFERROR(IF(SUMPRODUCT(LARGE((Log!B5:B404="Yielding")*ROW(Log!B5:B404),50))=0,"",INDEX(Log!F:F,SUMPRODUCT(LARGE((Log!B5:B404="Yielding")*ROW(Log!B5:B404),50)))),"")</f>
        <v/>
      </c>
      <c r="F51" s="118" t="str">
        <f aca="false" t="array" ref="F51:F51">IFERROR(IF(SUMPRODUCT(LARGE((Log!B5:B404="Yielding")*ROW(Log!B5:B404),50))=0,"",INDEX(Log!M:M,SUMPRODUCT(LARGE((Log!B5:B404="Yielding")*ROW(Log!B5:B404),50)))),"")</f>
        <v/>
      </c>
      <c r="G51" s="118" t="str">
        <f aca="false">IF(AND(ISNUMBER(F51),OR(C51="Heavy",C51="Test")),F51,"")</f>
        <v/>
      </c>
      <c r="H51" s="118" t="str">
        <f aca="false">IF(AND(ISNUMBER(F51),C51="Volume"),F51,"")</f>
        <v/>
      </c>
      <c r="I51" s="119" t="str">
        <f aca="false">IFERROR(IF(F51="","",D51/MAX($F$2:$F$51)*100),"")</f>
        <v/>
      </c>
      <c r="L51" s="115" t="n">
        <v>50</v>
      </c>
      <c r="M51" s="116" t="str">
        <f aca="false" t="array" ref="M51:M51">IFERROR(IF(SUMPRODUCT(LARGE((Log!J5:J404&lt;&gt;"")*ROW(Log!J5:J404),50))=0,"",INDEX(Log!A:A,SUMPRODUCT(LARGE((Log!J5:J404&lt;&gt;"")*ROW(Log!J5:J404),50)))),"")</f>
        <v/>
      </c>
      <c r="N51" s="118" t="str">
        <f aca="false" t="array" ref="N51:N51">IFERROR(IF(SUMPRODUCT(LARGE((Log!J5:J404&lt;&gt;"")*ROW(Log!J5:J404),50))=0,"",INDEX(Log!J:J,SUMPRODUCT(LARGE((Log!J5:J404&lt;&gt;"")*ROW(Log!J5:J404),50)))),"")</f>
        <v/>
      </c>
      <c r="O51" s="120" t="str">
        <f aca="false">IFERROR(IF(COUNT(N51:N55)&lt;3,"",AVERAGE(N51:N55)),"")</f>
        <v/>
      </c>
      <c r="S51" s="121" t="str">
        <f aca="false">IF(AND(ISNUMBER(I51),OR(C51="Heavy",C51="Test")),I51,"")</f>
        <v/>
      </c>
      <c r="T51" s="121" t="str">
        <f aca="false">IF(AND(ISNUMBER(I51),C51="Volume"),I51,"")</f>
        <v/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" hidden="false" customHeight="true" outlineLevel="0" collapsed="false">
      <c r="A55" s="4" t="s">
        <v>535</v>
      </c>
      <c r="B55" s="5"/>
      <c r="C55" s="5"/>
      <c r="D55" s="5"/>
      <c r="E55" s="5"/>
      <c r="F55" s="5"/>
      <c r="G55" s="5"/>
      <c r="H55" s="5"/>
      <c r="I55" s="5"/>
      <c r="J55" s="5"/>
      <c r="K55" s="5"/>
    </row>
    <row r="56" customFormat="false" ht="15" hidden="false" customHeight="true" outlineLevel="0" collapsed="false">
      <c r="A56" s="56" t="s">
        <v>20</v>
      </c>
      <c r="B56" s="56" t="s">
        <v>216</v>
      </c>
      <c r="C56" s="56" t="s">
        <v>217</v>
      </c>
      <c r="D56" s="56" t="s">
        <v>22</v>
      </c>
      <c r="E56" s="56" t="s">
        <v>251</v>
      </c>
      <c r="F56" s="56" t="s">
        <v>219</v>
      </c>
      <c r="G56" s="56" t="s">
        <v>220</v>
      </c>
      <c r="H56" s="56" t="s">
        <v>221</v>
      </c>
      <c r="I56" s="56" t="s">
        <v>222</v>
      </c>
      <c r="J56" s="56" t="s">
        <v>223</v>
      </c>
    </row>
    <row r="57" customFormat="false" ht="15" hidden="false" customHeight="true" outlineLevel="0" collapsed="false">
      <c r="A57" s="122" t="s">
        <v>26</v>
      </c>
      <c r="B57" s="70" t="n">
        <v>46153</v>
      </c>
      <c r="C57" s="70" t="n">
        <v>46159</v>
      </c>
      <c r="D57" s="71" t="s">
        <v>149</v>
      </c>
      <c r="E57" s="123" t="n">
        <f aca="false">COUNTIFS(Log!B5:B404,"Yielding",Log!A5:A404,"&gt;="&amp;B57,Log!A5:A404,"&lt;="&amp;C57)</f>
        <v>2</v>
      </c>
      <c r="F57" s="123" t="n">
        <f aca="false">COUNTIFS(Log!B5:B404,"OI",Log!A5:A404,"&gt;="&amp;B57,Log!A5:A404,"&lt;="&amp;C57)</f>
        <v>1</v>
      </c>
      <c r="G57" s="124" t="n">
        <f aca="false">IFERROR(AVERAGEIFS(Log!F5:F404,Log!B5:B404,"Yielding",Log!A5:A404,"&gt;="&amp;B57,Log!A5:A404,"&lt;="&amp;C57,Log!F5:F404,"&gt;0"),"")</f>
        <v>10</v>
      </c>
      <c r="H57" s="124" t="n">
        <f aca="false">IFERROR(SUMPRODUCT(MAX((Log!B5:B404="Yielding")*(Log!A5:A404&gt;=B57)*(Log!A5:A404&lt;=C57)*N(Log!M5:M404))),"")</f>
        <v>25</v>
      </c>
      <c r="I57" s="125" t="n">
        <f aca="false">IFERROR(AVERAGEIFS(Log!J5:J404,Log!A5:A404,"&gt;="&amp;B57,Log!A5:A404,"&lt;="&amp;C57,Log!J5:J404,"&gt;0"),"")</f>
        <v>3</v>
      </c>
      <c r="J57" s="126" t="str">
        <f aca="false">IF(D57="Deload + Test","TEST",IF(D57="Realization","REALIZE",IF(AND(ISNUMBER(I57),I57&gt;3),"RECOVERY FLAG","")))</f>
        <v/>
      </c>
    </row>
    <row r="58" customFormat="false" ht="15" hidden="false" customHeight="true" outlineLevel="0" collapsed="false">
      <c r="A58" s="122" t="s">
        <v>32</v>
      </c>
      <c r="B58" s="70" t="n">
        <v>46160</v>
      </c>
      <c r="C58" s="70" t="n">
        <v>46166</v>
      </c>
      <c r="D58" s="71" t="s">
        <v>151</v>
      </c>
      <c r="E58" s="123" t="n">
        <f aca="false">COUNTIFS(Log!B5:B404,"Yielding",Log!A5:A404,"&gt;="&amp;B58,Log!A5:A404,"&lt;="&amp;C58)</f>
        <v>1</v>
      </c>
      <c r="F58" s="123" t="n">
        <f aca="false">COUNTIFS(Log!B5:B404,"OI",Log!A5:A404,"&gt;="&amp;B58,Log!A5:A404,"&lt;="&amp;C58)</f>
        <v>1</v>
      </c>
      <c r="G58" s="124" t="n">
        <f aca="false">IFERROR(AVERAGEIFS(Log!F5:F404,Log!B5:B404,"Yielding",Log!A5:A404,"&gt;="&amp;B58,Log!A5:A404,"&lt;="&amp;C58,Log!F5:F404,"&gt;0"),"")</f>
        <v>10</v>
      </c>
      <c r="H58" s="124" t="n">
        <f aca="false">IFERROR(SUMPRODUCT(MAX((Log!B5:B404="Yielding")*(Log!A5:A404&gt;=B58)*(Log!A5:A404&lt;=C58)*N(Log!M5:M404))),"")</f>
        <v>25</v>
      </c>
      <c r="I58" s="125" t="n">
        <f aca="false">IFERROR(AVERAGEIFS(Log!J5:J404,Log!A5:A404,"&gt;="&amp;B58,Log!A5:A404,"&lt;="&amp;C58,Log!J5:J404,"&gt;0"),"")</f>
        <v>3</v>
      </c>
      <c r="J58" s="126" t="str">
        <f aca="false">IF(D58="Deload + Test","TEST",IF(D58="Realization","REALIZE",IF(AND(ISNUMBER(I58),I58&gt;3),"RECOVERY FLAG","")))</f>
        <v/>
      </c>
    </row>
    <row r="59" customFormat="false" ht="15" hidden="false" customHeight="true" outlineLevel="0" collapsed="false">
      <c r="A59" s="122" t="s">
        <v>36</v>
      </c>
      <c r="B59" s="70" t="n">
        <v>46167</v>
      </c>
      <c r="C59" s="70" t="n">
        <v>46173</v>
      </c>
      <c r="D59" s="71" t="s">
        <v>153</v>
      </c>
      <c r="E59" s="123" t="n">
        <f aca="false">COUNTIFS(Log!B5:B404,"Yielding",Log!A5:A404,"&gt;="&amp;B59,Log!A5:A404,"&lt;="&amp;C59)</f>
        <v>2</v>
      </c>
      <c r="F59" s="123" t="n">
        <f aca="false">COUNTIFS(Log!B5:B404,"OI",Log!A5:A404,"&gt;="&amp;B59,Log!A5:A404,"&lt;="&amp;C59)</f>
        <v>1</v>
      </c>
      <c r="G59" s="124" t="n">
        <f aca="false">IFERROR(AVERAGEIFS(Log!F5:F404,Log!B5:B404,"Yielding",Log!A5:A404,"&gt;="&amp;B59,Log!A5:A404,"&lt;="&amp;C59,Log!F5:F404,"&gt;0"),"")</f>
        <v>8</v>
      </c>
      <c r="H59" s="124" t="n">
        <f aca="false">IFERROR(SUMPRODUCT(MAX((Log!B5:B404="Yielding")*(Log!A5:A404&gt;=B59)*(Log!A5:A404&lt;=C59)*N(Log!M5:M404))),"")</f>
        <v>26.6</v>
      </c>
      <c r="I59" s="125" t="n">
        <f aca="false">IFERROR(AVERAGEIFS(Log!J5:J404,Log!A5:A404,"&gt;="&amp;B59,Log!A5:A404,"&lt;="&amp;C59,Log!J5:J404,"&gt;0"),"")</f>
        <v>3.33333333333333</v>
      </c>
      <c r="J59" s="126" t="str">
        <f aca="false">IF(D59="Deload + Test","TEST",IF(D59="Realization","REALIZE",IF(AND(ISNUMBER(I59),I59&gt;3),"RECOVERY FLAG","")))</f>
        <v>RECOVERY FLAG</v>
      </c>
    </row>
    <row r="60" customFormat="false" ht="15" hidden="false" customHeight="true" outlineLevel="0" collapsed="false">
      <c r="A60" s="122" t="s">
        <v>40</v>
      </c>
      <c r="B60" s="70" t="n">
        <v>46174</v>
      </c>
      <c r="C60" s="70" t="n">
        <v>46180</v>
      </c>
      <c r="D60" s="71" t="s">
        <v>155</v>
      </c>
      <c r="E60" s="123" t="n">
        <f aca="false">COUNTIFS(Log!B5:B404,"Yielding",Log!A5:A404,"&gt;="&amp;B60,Log!A5:A404,"&lt;="&amp;C60)</f>
        <v>0</v>
      </c>
      <c r="F60" s="123" t="n">
        <f aca="false">COUNTIFS(Log!B5:B404,"OI",Log!A5:A404,"&gt;="&amp;B60,Log!A5:A404,"&lt;="&amp;C60)</f>
        <v>0</v>
      </c>
      <c r="G60" s="124" t="str">
        <f aca="false">IFERROR(AVERAGEIFS(Log!F5:F404,Log!B5:B404,"Yielding",Log!A5:A404,"&gt;="&amp;B60,Log!A5:A404,"&lt;="&amp;C60,Log!F5:F404,"&gt;0"),"")</f>
        <v/>
      </c>
      <c r="H60" s="124" t="n">
        <f aca="false">IFERROR(SUMPRODUCT(MAX((Log!B5:B404="Yielding")*(Log!A5:A404&gt;=B60)*(Log!A5:A404&lt;=C60)*N(Log!M5:M404))),"")</f>
        <v>0</v>
      </c>
      <c r="I60" s="125" t="str">
        <f aca="false">IFERROR(AVERAGEIFS(Log!J5:J404,Log!A5:A404,"&gt;="&amp;B60,Log!A5:A404,"&lt;="&amp;C60,Log!J5:J404,"&gt;0"),"")</f>
        <v/>
      </c>
      <c r="J60" s="126" t="str">
        <f aca="false">IF(D60="Deload + Test","TEST",IF(D60="Realization","REALIZE",IF(AND(ISNUMBER(I60),I60&gt;3),"RECOVERY FLAG","")))</f>
        <v/>
      </c>
    </row>
    <row r="61" customFormat="false" ht="15" hidden="false" customHeight="true" outlineLevel="0" collapsed="false">
      <c r="A61" s="122" t="s">
        <v>46</v>
      </c>
      <c r="B61" s="70" t="n">
        <v>46181</v>
      </c>
      <c r="C61" s="70" t="n">
        <v>46187</v>
      </c>
      <c r="D61" s="71" t="s">
        <v>536</v>
      </c>
      <c r="E61" s="123" t="n">
        <f aca="false">COUNTIFS(Log!B5:B404,"Yielding",Log!A5:A404,"&gt;="&amp;B61,Log!A5:A404,"&lt;="&amp;C61)</f>
        <v>0</v>
      </c>
      <c r="F61" s="123" t="n">
        <f aca="false">COUNTIFS(Log!B5:B404,"OI",Log!A5:A404,"&gt;="&amp;B61,Log!A5:A404,"&lt;="&amp;C61)</f>
        <v>0</v>
      </c>
      <c r="G61" s="124" t="str">
        <f aca="false">IFERROR(AVERAGEIFS(Log!F5:F404,Log!B5:B404,"Yielding",Log!A5:A404,"&gt;="&amp;B61,Log!A5:A404,"&lt;="&amp;C61,Log!F5:F404,"&gt;0"),"")</f>
        <v/>
      </c>
      <c r="H61" s="124" t="n">
        <f aca="false">IFERROR(SUMPRODUCT(MAX((Log!B5:B404="Yielding")*(Log!A5:A404&gt;=B61)*(Log!A5:A404&lt;=C61)*N(Log!M5:M404))),"")</f>
        <v>0</v>
      </c>
      <c r="I61" s="125" t="str">
        <f aca="false">IFERROR(AVERAGEIFS(Log!J5:J404,Log!A5:A404,"&gt;="&amp;B61,Log!A5:A404,"&lt;="&amp;C61,Log!J5:J404,"&gt;0"),"")</f>
        <v/>
      </c>
      <c r="J61" s="126" t="str">
        <f aca="false">IF(D61="Deload + Test","TEST",IF(D61="Realization","REALIZE",IF(AND(ISNUMBER(I61),I61&gt;3),"RECOVERY FLAG","")))</f>
        <v>TEST</v>
      </c>
    </row>
    <row r="62" customFormat="false" ht="15" hidden="false" customHeight="true" outlineLevel="0" collapsed="false">
      <c r="A62" s="122" t="s">
        <v>52</v>
      </c>
      <c r="B62" s="70" t="n">
        <v>46188</v>
      </c>
      <c r="C62" s="70" t="n">
        <v>46194</v>
      </c>
      <c r="D62" s="71" t="s">
        <v>160</v>
      </c>
      <c r="E62" s="123" t="n">
        <f aca="false">COUNTIFS(Log!B5:B404,"Yielding",Log!A5:A404,"&gt;="&amp;B62,Log!A5:A404,"&lt;="&amp;C62)</f>
        <v>0</v>
      </c>
      <c r="F62" s="123" t="n">
        <f aca="false">COUNTIFS(Log!B5:B404,"OI",Log!A5:A404,"&gt;="&amp;B62,Log!A5:A404,"&lt;="&amp;C62)</f>
        <v>0</v>
      </c>
      <c r="G62" s="124" t="str">
        <f aca="false">IFERROR(AVERAGEIFS(Log!F5:F404,Log!B5:B404,"Yielding",Log!A5:A404,"&gt;="&amp;B62,Log!A5:A404,"&lt;="&amp;C62,Log!F5:F404,"&gt;0"),"")</f>
        <v/>
      </c>
      <c r="H62" s="124" t="n">
        <f aca="false">IFERROR(SUMPRODUCT(MAX((Log!B5:B404="Yielding")*(Log!A5:A404&gt;=B62)*(Log!A5:A404&lt;=C62)*N(Log!M5:M404))),"")</f>
        <v>0</v>
      </c>
      <c r="I62" s="125" t="str">
        <f aca="false">IFERROR(AVERAGEIFS(Log!J5:J404,Log!A5:A404,"&gt;="&amp;B62,Log!A5:A404,"&lt;="&amp;C62,Log!J5:J404,"&gt;0"),"")</f>
        <v/>
      </c>
      <c r="J62" s="126" t="str">
        <f aca="false">IF(D62="Deload + Test","TEST",IF(D62="Realization","REALIZE",IF(AND(ISNUMBER(I62),I62&gt;3),"RECOVERY FLAG","")))</f>
        <v/>
      </c>
    </row>
    <row r="63" customFormat="false" ht="15" hidden="false" customHeight="true" outlineLevel="0" collapsed="false">
      <c r="A63" s="122" t="s">
        <v>58</v>
      </c>
      <c r="B63" s="70" t="n">
        <v>46195</v>
      </c>
      <c r="C63" s="70" t="n">
        <v>46201</v>
      </c>
      <c r="D63" s="71" t="s">
        <v>162</v>
      </c>
      <c r="E63" s="123" t="n">
        <f aca="false">COUNTIFS(Log!B5:B404,"Yielding",Log!A5:A404,"&gt;="&amp;B63,Log!A5:A404,"&lt;="&amp;C63)</f>
        <v>0</v>
      </c>
      <c r="F63" s="123" t="n">
        <f aca="false">COUNTIFS(Log!B5:B404,"OI",Log!A5:A404,"&gt;="&amp;B63,Log!A5:A404,"&lt;="&amp;C63)</f>
        <v>0</v>
      </c>
      <c r="G63" s="124" t="str">
        <f aca="false">IFERROR(AVERAGEIFS(Log!F5:F404,Log!B5:B404,"Yielding",Log!A5:A404,"&gt;="&amp;B63,Log!A5:A404,"&lt;="&amp;C63,Log!F5:F404,"&gt;0"),"")</f>
        <v/>
      </c>
      <c r="H63" s="124" t="n">
        <f aca="false">IFERROR(SUMPRODUCT(MAX((Log!B5:B404="Yielding")*(Log!A5:A404&gt;=B63)*(Log!A5:A404&lt;=C63)*N(Log!M5:M404))),"")</f>
        <v>0</v>
      </c>
      <c r="I63" s="125" t="str">
        <f aca="false">IFERROR(AVERAGEIFS(Log!J5:J404,Log!A5:A404,"&gt;="&amp;B63,Log!A5:A404,"&lt;="&amp;C63,Log!J5:J404,"&gt;0"),"")</f>
        <v/>
      </c>
      <c r="J63" s="126" t="str">
        <f aca="false">IF(D63="Deload + Test","TEST",IF(D63="Realization","REALIZE",IF(AND(ISNUMBER(I63),I63&gt;3),"RECOVERY FLAG","")))</f>
        <v/>
      </c>
    </row>
    <row r="64" customFormat="false" ht="15" hidden="false" customHeight="true" outlineLevel="0" collapsed="false">
      <c r="A64" s="122" t="s">
        <v>62</v>
      </c>
      <c r="B64" s="70" t="n">
        <v>46202</v>
      </c>
      <c r="C64" s="70" t="n">
        <v>46208</v>
      </c>
      <c r="D64" s="71" t="s">
        <v>163</v>
      </c>
      <c r="E64" s="123" t="n">
        <f aca="false">COUNTIFS(Log!B5:B404,"Yielding",Log!A5:A404,"&gt;="&amp;B64,Log!A5:A404,"&lt;="&amp;C64)</f>
        <v>0</v>
      </c>
      <c r="F64" s="123" t="n">
        <f aca="false">COUNTIFS(Log!B5:B404,"OI",Log!A5:A404,"&gt;="&amp;B64,Log!A5:A404,"&lt;="&amp;C64)</f>
        <v>0</v>
      </c>
      <c r="G64" s="124" t="str">
        <f aca="false">IFERROR(AVERAGEIFS(Log!F5:F404,Log!B5:B404,"Yielding",Log!A5:A404,"&gt;="&amp;B64,Log!A5:A404,"&lt;="&amp;C64,Log!F5:F404,"&gt;0"),"")</f>
        <v/>
      </c>
      <c r="H64" s="124" t="n">
        <f aca="false">IFERROR(SUMPRODUCT(MAX((Log!B5:B404="Yielding")*(Log!A5:A404&gt;=B64)*(Log!A5:A404&lt;=C64)*N(Log!M5:M404))),"")</f>
        <v>0</v>
      </c>
      <c r="I64" s="125" t="str">
        <f aca="false">IFERROR(AVERAGEIFS(Log!J5:J404,Log!A5:A404,"&gt;="&amp;B64,Log!A5:A404,"&lt;="&amp;C64,Log!J5:J404,"&gt;0"),"")</f>
        <v/>
      </c>
      <c r="J64" s="126" t="str">
        <f aca="false">IF(D64="Deload + Test","TEST",IF(D64="Realization","REALIZE",IF(AND(ISNUMBER(I64),I64&gt;3),"RECOVERY FLAG","")))</f>
        <v/>
      </c>
    </row>
    <row r="65" customFormat="false" ht="15" hidden="false" customHeight="true" outlineLevel="0" collapsed="false">
      <c r="A65" s="122" t="s">
        <v>65</v>
      </c>
      <c r="B65" s="70" t="n">
        <v>46209</v>
      </c>
      <c r="C65" s="70" t="n">
        <v>46215</v>
      </c>
      <c r="D65" s="71" t="s">
        <v>164</v>
      </c>
      <c r="E65" s="123" t="n">
        <f aca="false">COUNTIFS(Log!B5:B404,"Yielding",Log!A5:A404,"&gt;="&amp;B65,Log!A5:A404,"&lt;="&amp;C65)</f>
        <v>0</v>
      </c>
      <c r="F65" s="123" t="n">
        <f aca="false">COUNTIFS(Log!B5:B404,"OI",Log!A5:A404,"&gt;="&amp;B65,Log!A5:A404,"&lt;="&amp;C65)</f>
        <v>0</v>
      </c>
      <c r="G65" s="124" t="str">
        <f aca="false">IFERROR(AVERAGEIFS(Log!F5:F404,Log!B5:B404,"Yielding",Log!A5:A404,"&gt;="&amp;B65,Log!A5:A404,"&lt;="&amp;C65,Log!F5:F404,"&gt;0"),"")</f>
        <v/>
      </c>
      <c r="H65" s="124" t="n">
        <f aca="false">IFERROR(SUMPRODUCT(MAX((Log!B5:B404="Yielding")*(Log!A5:A404&gt;=B65)*(Log!A5:A404&lt;=C65)*N(Log!M5:M404))),"")</f>
        <v>0</v>
      </c>
      <c r="I65" s="125" t="str">
        <f aca="false">IFERROR(AVERAGEIFS(Log!J5:J404,Log!A5:A404,"&gt;="&amp;B65,Log!A5:A404,"&lt;="&amp;C65,Log!J5:J404,"&gt;0"),"")</f>
        <v/>
      </c>
      <c r="J65" s="126" t="str">
        <f aca="false">IF(D65="Deload + Test","TEST",IF(D65="Realization","REALIZE",IF(AND(ISNUMBER(I65),I65&gt;3),"RECOVERY FLAG","")))</f>
        <v/>
      </c>
    </row>
    <row r="66" customFormat="false" ht="15" hidden="false" customHeight="true" outlineLevel="0" collapsed="false">
      <c r="A66" s="122" t="s">
        <v>69</v>
      </c>
      <c r="B66" s="70" t="n">
        <v>46216</v>
      </c>
      <c r="C66" s="70" t="n">
        <v>46222</v>
      </c>
      <c r="D66" s="71" t="s">
        <v>536</v>
      </c>
      <c r="E66" s="123" t="n">
        <f aca="false">COUNTIFS(Log!B5:B404,"Yielding",Log!A5:A404,"&gt;="&amp;B66,Log!A5:A404,"&lt;="&amp;C66)</f>
        <v>0</v>
      </c>
      <c r="F66" s="123" t="n">
        <f aca="false">COUNTIFS(Log!B5:B404,"OI",Log!A5:A404,"&gt;="&amp;B66,Log!A5:A404,"&lt;="&amp;C66)</f>
        <v>0</v>
      </c>
      <c r="G66" s="124" t="str">
        <f aca="false">IFERROR(AVERAGEIFS(Log!F5:F404,Log!B5:B404,"Yielding",Log!A5:A404,"&gt;="&amp;B66,Log!A5:A404,"&lt;="&amp;C66,Log!F5:F404,"&gt;0"),"")</f>
        <v/>
      </c>
      <c r="H66" s="124" t="n">
        <f aca="false">IFERROR(SUMPRODUCT(MAX((Log!B5:B404="Yielding")*(Log!A5:A404&gt;=B66)*(Log!A5:A404&lt;=C66)*N(Log!M5:M404))),"")</f>
        <v>0</v>
      </c>
      <c r="I66" s="125" t="str">
        <f aca="false">IFERROR(AVERAGEIFS(Log!J5:J404,Log!A5:A404,"&gt;="&amp;B66,Log!A5:A404,"&lt;="&amp;C66,Log!J5:J404,"&gt;0"),"")</f>
        <v/>
      </c>
      <c r="J66" s="126" t="str">
        <f aca="false">IF(D66="Deload + Test","TEST",IF(D66="Realization","REALIZE",IF(AND(ISNUMBER(I66),I66&gt;3),"RECOVERY FLAG","")))</f>
        <v>TEST</v>
      </c>
    </row>
    <row r="67" customFormat="false" ht="15" hidden="false" customHeight="true" outlineLevel="0" collapsed="false">
      <c r="A67" s="122" t="s">
        <v>71</v>
      </c>
      <c r="B67" s="70" t="n">
        <v>46223</v>
      </c>
      <c r="C67" s="70" t="n">
        <v>46229</v>
      </c>
      <c r="D67" s="71" t="s">
        <v>537</v>
      </c>
      <c r="E67" s="123" t="n">
        <f aca="false">COUNTIFS(Log!B5:B404,"Yielding",Log!A5:A404,"&gt;="&amp;B67,Log!A5:A404,"&lt;="&amp;C67)</f>
        <v>0</v>
      </c>
      <c r="F67" s="123" t="n">
        <f aca="false">COUNTIFS(Log!B5:B404,"OI",Log!A5:A404,"&gt;="&amp;B67,Log!A5:A404,"&lt;="&amp;C67)</f>
        <v>0</v>
      </c>
      <c r="G67" s="124" t="str">
        <f aca="false">IFERROR(AVERAGEIFS(Log!F5:F404,Log!B5:B404,"Yielding",Log!A5:A404,"&gt;="&amp;B67,Log!A5:A404,"&lt;="&amp;C67,Log!F5:F404,"&gt;0"),"")</f>
        <v/>
      </c>
      <c r="H67" s="124" t="n">
        <f aca="false">IFERROR(SUMPRODUCT(MAX((Log!B5:B404="Yielding")*(Log!A5:A404&gt;=B67)*(Log!A5:A404&lt;=C67)*N(Log!M5:M404))),"")</f>
        <v>0</v>
      </c>
      <c r="I67" s="125" t="str">
        <f aca="false">IFERROR(AVERAGEIFS(Log!J5:J404,Log!A5:A404,"&gt;="&amp;B67,Log!A5:A404,"&lt;="&amp;C67,Log!J5:J404,"&gt;0"),"")</f>
        <v/>
      </c>
      <c r="J67" s="126" t="str">
        <f aca="false">IF(D67="Deload + Test","TEST",IF(D67="Realization","REALIZE",IF(AND(ISNUMBER(I67),I67&gt;3),"RECOVERY FLAG","")))</f>
        <v/>
      </c>
    </row>
    <row r="68" customFormat="false" ht="15" hidden="false" customHeight="true" outlineLevel="0" collapsed="false">
      <c r="A68" s="122" t="s">
        <v>76</v>
      </c>
      <c r="B68" s="70" t="n">
        <v>46230</v>
      </c>
      <c r="C68" s="70" t="n">
        <v>46236</v>
      </c>
      <c r="D68" s="71" t="s">
        <v>538</v>
      </c>
      <c r="E68" s="123" t="n">
        <f aca="false">COUNTIFS(Log!B5:B404,"Yielding",Log!A5:A404,"&gt;="&amp;B68,Log!A5:A404,"&lt;="&amp;C68)</f>
        <v>0</v>
      </c>
      <c r="F68" s="123" t="n">
        <f aca="false">COUNTIFS(Log!B5:B404,"OI",Log!A5:A404,"&gt;="&amp;B68,Log!A5:A404,"&lt;="&amp;C68)</f>
        <v>0</v>
      </c>
      <c r="G68" s="124" t="str">
        <f aca="false">IFERROR(AVERAGEIFS(Log!F5:F404,Log!B5:B404,"Yielding",Log!A5:A404,"&gt;="&amp;B68,Log!A5:A404,"&lt;="&amp;C68,Log!F5:F404,"&gt;0"),"")</f>
        <v/>
      </c>
      <c r="H68" s="124" t="n">
        <f aca="false">IFERROR(SUMPRODUCT(MAX((Log!B5:B404="Yielding")*(Log!A5:A404&gt;=B68)*(Log!A5:A404&lt;=C68)*N(Log!M5:M404))),"")</f>
        <v>0</v>
      </c>
      <c r="I68" s="125" t="str">
        <f aca="false">IFERROR(AVERAGEIFS(Log!J5:J404,Log!A5:A404,"&gt;="&amp;B68,Log!A5:A404,"&lt;="&amp;C68,Log!J5:J404,"&gt;0"),"")</f>
        <v/>
      </c>
      <c r="J68" s="126" t="str">
        <f aca="false">IF(D68="Deload + Test","TEST",IF(D68="Realization","REALIZE",IF(AND(ISNUMBER(I68),I68&gt;3),"RECOVERY FLAG","")))</f>
        <v/>
      </c>
    </row>
    <row r="69" customFormat="false" ht="15" hidden="false" customHeight="true" outlineLevel="0" collapsed="false">
      <c r="A69" s="122" t="s">
        <v>80</v>
      </c>
      <c r="B69" s="70" t="n">
        <v>46237</v>
      </c>
      <c r="C69" s="70" t="n">
        <v>46243</v>
      </c>
      <c r="D69" s="71" t="s">
        <v>539</v>
      </c>
      <c r="E69" s="123" t="n">
        <f aca="false">COUNTIFS(Log!B5:B404,"Yielding",Log!A5:A404,"&gt;="&amp;B69,Log!A5:A404,"&lt;="&amp;C69)</f>
        <v>0</v>
      </c>
      <c r="F69" s="123" t="n">
        <f aca="false">COUNTIFS(Log!B5:B404,"OI",Log!A5:A404,"&gt;="&amp;B69,Log!A5:A404,"&lt;="&amp;C69)</f>
        <v>0</v>
      </c>
      <c r="G69" s="124" t="str">
        <f aca="false">IFERROR(AVERAGEIFS(Log!F5:F404,Log!B5:B404,"Yielding",Log!A5:A404,"&gt;="&amp;B69,Log!A5:A404,"&lt;="&amp;C69,Log!F5:F404,"&gt;0"),"")</f>
        <v/>
      </c>
      <c r="H69" s="124" t="n">
        <f aca="false">IFERROR(SUMPRODUCT(MAX((Log!B5:B404="Yielding")*(Log!A5:A404&gt;=B69)*(Log!A5:A404&lt;=C69)*N(Log!M5:M404))),"")</f>
        <v>0</v>
      </c>
      <c r="I69" s="125" t="str">
        <f aca="false">IFERROR(AVERAGEIFS(Log!J5:J404,Log!A5:A404,"&gt;="&amp;B69,Log!A5:A404,"&lt;="&amp;C69,Log!J5:J404,"&gt;0"),"")</f>
        <v/>
      </c>
      <c r="J69" s="126" t="str">
        <f aca="false">IF(D69="Deload + Test","TEST",IF(D69="Realization","REALIZE",IF(AND(ISNUMBER(I69),I69&gt;3),"RECOVERY FLAG","")))</f>
        <v/>
      </c>
    </row>
    <row r="70" customFormat="false" ht="15" hidden="false" customHeight="true" outlineLevel="0" collapsed="false">
      <c r="A70" s="122" t="s">
        <v>84</v>
      </c>
      <c r="B70" s="70" t="n">
        <v>46244</v>
      </c>
      <c r="C70" s="70" t="n">
        <v>46250</v>
      </c>
      <c r="D70" s="71" t="s">
        <v>540</v>
      </c>
      <c r="E70" s="123" t="n">
        <f aca="false">COUNTIFS(Log!B5:B404,"Yielding",Log!A5:A404,"&gt;="&amp;B70,Log!A5:A404,"&lt;="&amp;C70)</f>
        <v>0</v>
      </c>
      <c r="F70" s="123" t="n">
        <f aca="false">COUNTIFS(Log!B5:B404,"OI",Log!A5:A404,"&gt;="&amp;B70,Log!A5:A404,"&lt;="&amp;C70)</f>
        <v>0</v>
      </c>
      <c r="G70" s="124" t="str">
        <f aca="false">IFERROR(AVERAGEIFS(Log!F5:F404,Log!B5:B404,"Yielding",Log!A5:A404,"&gt;="&amp;B70,Log!A5:A404,"&lt;="&amp;C70,Log!F5:F404,"&gt;0"),"")</f>
        <v/>
      </c>
      <c r="H70" s="124" t="n">
        <f aca="false">IFERROR(SUMPRODUCT(MAX((Log!B5:B404="Yielding")*(Log!A5:A404&gt;=B70)*(Log!A5:A404&lt;=C70)*N(Log!M5:M404))),"")</f>
        <v>0</v>
      </c>
      <c r="I70" s="125" t="str">
        <f aca="false">IFERROR(AVERAGEIFS(Log!J5:J404,Log!A5:A404,"&gt;="&amp;B70,Log!A5:A404,"&lt;="&amp;C70,Log!J5:J404,"&gt;0"),"")</f>
        <v/>
      </c>
      <c r="J70" s="126" t="str">
        <f aca="false">IF(D70="Deload + Test","TEST",IF(D70="Realization","REALIZE",IF(AND(ISNUMBER(I70),I70&gt;3),"RECOVERY FLAG","")))</f>
        <v/>
      </c>
    </row>
    <row r="71" customFormat="false" ht="15" hidden="false" customHeight="true" outlineLevel="0" collapsed="false">
      <c r="A71" s="122" t="s">
        <v>88</v>
      </c>
      <c r="B71" s="70" t="n">
        <v>46251</v>
      </c>
      <c r="C71" s="70" t="n">
        <v>46257</v>
      </c>
      <c r="D71" s="71" t="s">
        <v>536</v>
      </c>
      <c r="E71" s="123" t="n">
        <f aca="false">COUNTIFS(Log!B5:B404,"Yielding",Log!A5:A404,"&gt;="&amp;B71,Log!A5:A404,"&lt;="&amp;C71)</f>
        <v>0</v>
      </c>
      <c r="F71" s="123" t="n">
        <f aca="false">COUNTIFS(Log!B5:B404,"OI",Log!A5:A404,"&gt;="&amp;B71,Log!A5:A404,"&lt;="&amp;C71)</f>
        <v>0</v>
      </c>
      <c r="G71" s="124" t="str">
        <f aca="false">IFERROR(AVERAGEIFS(Log!F5:F404,Log!B5:B404,"Yielding",Log!A5:A404,"&gt;="&amp;B71,Log!A5:A404,"&lt;="&amp;C71,Log!F5:F404,"&gt;0"),"")</f>
        <v/>
      </c>
      <c r="H71" s="124" t="n">
        <f aca="false">IFERROR(SUMPRODUCT(MAX((Log!B5:B404="Yielding")*(Log!A5:A404&gt;=B71)*(Log!A5:A404&lt;=C71)*N(Log!M5:M404))),"")</f>
        <v>0</v>
      </c>
      <c r="I71" s="125" t="str">
        <f aca="false">IFERROR(AVERAGEIFS(Log!J5:J404,Log!A5:A404,"&gt;="&amp;B71,Log!A5:A404,"&lt;="&amp;C71,Log!J5:J404,"&gt;0"),"")</f>
        <v/>
      </c>
      <c r="J71" s="126" t="str">
        <f aca="false">IF(D71="Deload + Test","TEST",IF(D71="Realization","REALIZE",IF(AND(ISNUMBER(I71),I71&gt;3),"RECOVERY FLAG","")))</f>
        <v>TEST</v>
      </c>
    </row>
    <row r="72" customFormat="false" ht="15" hidden="false" customHeight="true" outlineLevel="0" collapsed="false">
      <c r="A72" s="122" t="s">
        <v>92</v>
      </c>
      <c r="B72" s="70" t="n">
        <v>46258</v>
      </c>
      <c r="C72" s="70" t="n">
        <v>46264</v>
      </c>
      <c r="D72" s="71" t="s">
        <v>168</v>
      </c>
      <c r="E72" s="123" t="n">
        <f aca="false">COUNTIFS(Log!B5:B404,"Yielding",Log!A5:A404,"&gt;="&amp;B72,Log!A5:A404,"&lt;="&amp;C72)</f>
        <v>0</v>
      </c>
      <c r="F72" s="123" t="n">
        <f aca="false">COUNTIFS(Log!B5:B404,"OI",Log!A5:A404,"&gt;="&amp;B72,Log!A5:A404,"&lt;="&amp;C72)</f>
        <v>0</v>
      </c>
      <c r="G72" s="124" t="str">
        <f aca="false">IFERROR(AVERAGEIFS(Log!F5:F404,Log!B5:B404,"Yielding",Log!A5:A404,"&gt;="&amp;B72,Log!A5:A404,"&lt;="&amp;C72,Log!F5:F404,"&gt;0"),"")</f>
        <v/>
      </c>
      <c r="H72" s="124" t="n">
        <f aca="false">IFERROR(SUMPRODUCT(MAX((Log!B5:B404="Yielding")*(Log!A5:A404&gt;=B72)*(Log!A5:A404&lt;=C72)*N(Log!M5:M404))),"")</f>
        <v>0</v>
      </c>
      <c r="I72" s="125" t="str">
        <f aca="false">IFERROR(AVERAGEIFS(Log!J5:J404,Log!A5:A404,"&gt;="&amp;B72,Log!A5:A404,"&lt;="&amp;C72,Log!J5:J404,"&gt;0"),"")</f>
        <v/>
      </c>
      <c r="J72" s="126" t="str">
        <f aca="false">IF(D72="Deload + Test","TEST",IF(D72="Realization","REALIZE",IF(AND(ISNUMBER(I72),I72&gt;3),"RECOVERY FLAG","")))</f>
        <v>REALIZE</v>
      </c>
    </row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" hidden="false" customHeight="true" outlineLevel="0" collapsed="false">
      <c r="A75" s="4" t="s">
        <v>541</v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23.25" hidden="false" customHeight="true" outlineLevel="0" collapsed="false">
      <c r="A76" s="56" t="s">
        <v>226</v>
      </c>
      <c r="B76" s="56" t="s">
        <v>227</v>
      </c>
      <c r="C76" s="56" t="s">
        <v>542</v>
      </c>
      <c r="D76" s="56" t="s">
        <v>543</v>
      </c>
      <c r="E76" s="56" t="s">
        <v>251</v>
      </c>
      <c r="F76" s="56" t="s">
        <v>219</v>
      </c>
      <c r="G76" s="56" t="s">
        <v>220</v>
      </c>
      <c r="H76" s="56" t="s">
        <v>221</v>
      </c>
      <c r="I76" s="56" t="s">
        <v>222</v>
      </c>
      <c r="J76" s="56" t="s">
        <v>228</v>
      </c>
    </row>
    <row r="77" customFormat="false" ht="15" hidden="false" customHeight="true" outlineLevel="0" collapsed="false">
      <c r="A77" s="112" t="s">
        <v>544</v>
      </c>
      <c r="B77" s="114" t="s">
        <v>545</v>
      </c>
      <c r="C77" s="70" t="n">
        <v>46153</v>
      </c>
      <c r="D77" s="70" t="n">
        <v>46180</v>
      </c>
      <c r="E77" s="123" t="n">
        <f aca="false">COUNTIFS(Log!B5:B404,"Yielding",Log!A5:A404,"&gt;="&amp;C77,Log!A5:A404,"&lt;="&amp;D77)</f>
        <v>5</v>
      </c>
      <c r="F77" s="123" t="n">
        <f aca="false">COUNTIFS(Log!B5:B404,"OI",Log!A5:A404,"&gt;="&amp;C77,Log!A5:A404,"&lt;="&amp;D77)</f>
        <v>3</v>
      </c>
      <c r="G77" s="124" t="n">
        <f aca="false">IFERROR(AVERAGEIFS(Log!F5:F404,Log!B5:B404,"Yielding",Log!A5:A404,"&gt;="&amp;C77,Log!A5:A404,"&lt;="&amp;D77,Log!F5:F404,"&gt;0"),"")</f>
        <v>9.2</v>
      </c>
      <c r="H77" s="124" t="n">
        <f aca="false">IFERROR(SUMPRODUCT(MAX((Log!B5:B404="Yielding")*(Log!A5:A404&gt;=C77)*(Log!A5:A404&lt;=D77)*N(Log!M5:M404))),"")</f>
        <v>26.6</v>
      </c>
      <c r="I77" s="125" t="n">
        <f aca="false">IFERROR(AVERAGEIFS(Log!J5:J404,Log!A5:A404,"&gt;="&amp;C77,Log!A5:A404,"&lt;="&amp;D77,Log!J5:J404,"&gt;0"),"")</f>
        <v>3.125</v>
      </c>
      <c r="J77" s="127" t="str">
        <f aca="true">IF(D77&lt;TODAY(),IF(E77=0,"Not started","Complete"),IF(C77&lt;=TODAY(),"In progress","Upcoming"))</f>
        <v>In progress</v>
      </c>
    </row>
    <row r="78" customFormat="false" ht="15" hidden="false" customHeight="true" outlineLevel="0" collapsed="false">
      <c r="A78" s="112" t="s">
        <v>546</v>
      </c>
      <c r="B78" s="114" t="s">
        <v>46</v>
      </c>
      <c r="C78" s="70" t="n">
        <v>46181</v>
      </c>
      <c r="D78" s="70" t="n">
        <v>46187</v>
      </c>
      <c r="E78" s="123" t="n">
        <f aca="false">COUNTIFS(Log!B5:B404,"Yielding",Log!A5:A404,"&gt;="&amp;C78,Log!A5:A404,"&lt;="&amp;D78)</f>
        <v>0</v>
      </c>
      <c r="F78" s="123" t="n">
        <f aca="false">COUNTIFS(Log!B5:B404,"OI",Log!A5:A404,"&gt;="&amp;C78,Log!A5:A404,"&lt;="&amp;D78)</f>
        <v>0</v>
      </c>
      <c r="G78" s="124" t="str">
        <f aca="false">IFERROR(AVERAGEIFS(Log!F5:F404,Log!B5:B404,"Yielding",Log!A5:A404,"&gt;="&amp;C78,Log!A5:A404,"&lt;="&amp;D78,Log!F5:F404,"&gt;0"),"")</f>
        <v/>
      </c>
      <c r="H78" s="124" t="n">
        <f aca="false">IFERROR(SUMPRODUCT(MAX((Log!B5:B404="Yielding")*(Log!A5:A404&gt;=C78)*(Log!A5:A404&lt;=D78)*N(Log!M5:M404))),"")</f>
        <v>0</v>
      </c>
      <c r="I78" s="125" t="str">
        <f aca="false">IFERROR(AVERAGEIFS(Log!J5:J404,Log!A5:A404,"&gt;="&amp;C78,Log!A5:A404,"&lt;="&amp;D78,Log!J5:J404,"&gt;0"),"")</f>
        <v/>
      </c>
      <c r="J78" s="127" t="str">
        <f aca="true">IF(D78&lt;TODAY(),IF(E78=0,"Not started","Complete"),IF(C78&lt;=TODAY(),"In progress","Upcoming"))</f>
        <v>Upcoming</v>
      </c>
    </row>
    <row r="79" customFormat="false" ht="15" hidden="false" customHeight="true" outlineLevel="0" collapsed="false">
      <c r="A79" s="112" t="s">
        <v>547</v>
      </c>
      <c r="B79" s="114" t="s">
        <v>548</v>
      </c>
      <c r="C79" s="70" t="n">
        <v>46188</v>
      </c>
      <c r="D79" s="70" t="n">
        <v>46215</v>
      </c>
      <c r="E79" s="123" t="n">
        <f aca="false">COUNTIFS(Log!B5:B404,"Yielding",Log!A5:A404,"&gt;="&amp;C79,Log!A5:A404,"&lt;="&amp;D79)</f>
        <v>0</v>
      </c>
      <c r="F79" s="123" t="n">
        <f aca="false">COUNTIFS(Log!B5:B404,"OI",Log!A5:A404,"&gt;="&amp;C79,Log!A5:A404,"&lt;="&amp;D79)</f>
        <v>0</v>
      </c>
      <c r="G79" s="124" t="str">
        <f aca="false">IFERROR(AVERAGEIFS(Log!F5:F404,Log!B5:B404,"Yielding",Log!A5:A404,"&gt;="&amp;C79,Log!A5:A404,"&lt;="&amp;D79,Log!F5:F404,"&gt;0"),"")</f>
        <v/>
      </c>
      <c r="H79" s="124" t="n">
        <f aca="false">IFERROR(SUMPRODUCT(MAX((Log!B5:B404="Yielding")*(Log!A5:A404&gt;=C79)*(Log!A5:A404&lt;=D79)*N(Log!M5:M404))),"")</f>
        <v>0</v>
      </c>
      <c r="I79" s="125" t="str">
        <f aca="false">IFERROR(AVERAGEIFS(Log!J5:J404,Log!A5:A404,"&gt;="&amp;C79,Log!A5:A404,"&lt;="&amp;D79,Log!J5:J404,"&gt;0"),"")</f>
        <v/>
      </c>
      <c r="J79" s="127" t="str">
        <f aca="true">IF(D79&lt;TODAY(),IF(E79=0,"Not started","Complete"),IF(C79&lt;=TODAY(),"In progress","Upcoming"))</f>
        <v>Upcoming</v>
      </c>
    </row>
    <row r="80" customFormat="false" ht="15" hidden="false" customHeight="true" outlineLevel="0" collapsed="false">
      <c r="A80" s="112" t="s">
        <v>549</v>
      </c>
      <c r="B80" s="114" t="s">
        <v>69</v>
      </c>
      <c r="C80" s="70" t="n">
        <v>46216</v>
      </c>
      <c r="D80" s="70" t="n">
        <v>46222</v>
      </c>
      <c r="E80" s="123" t="n">
        <f aca="false">COUNTIFS(Log!B5:B404,"Yielding",Log!A5:A404,"&gt;="&amp;C80,Log!A5:A404,"&lt;="&amp;D80)</f>
        <v>0</v>
      </c>
      <c r="F80" s="123" t="n">
        <f aca="false">COUNTIFS(Log!B5:B404,"OI",Log!A5:A404,"&gt;="&amp;C80,Log!A5:A404,"&lt;="&amp;D80)</f>
        <v>0</v>
      </c>
      <c r="G80" s="124" t="str">
        <f aca="false">IFERROR(AVERAGEIFS(Log!F5:F404,Log!B5:B404,"Yielding",Log!A5:A404,"&gt;="&amp;C80,Log!A5:A404,"&lt;="&amp;D80,Log!F5:F404,"&gt;0"),"")</f>
        <v/>
      </c>
      <c r="H80" s="124" t="n">
        <f aca="false">IFERROR(SUMPRODUCT(MAX((Log!B5:B404="Yielding")*(Log!A5:A404&gt;=C80)*(Log!A5:A404&lt;=D80)*N(Log!M5:M404))),"")</f>
        <v>0</v>
      </c>
      <c r="I80" s="125" t="str">
        <f aca="false">IFERROR(AVERAGEIFS(Log!J5:J404,Log!A5:A404,"&gt;="&amp;C80,Log!A5:A404,"&lt;="&amp;D80,Log!J5:J404,"&gt;0"),"")</f>
        <v/>
      </c>
      <c r="J80" s="127" t="str">
        <f aca="true">IF(D80&lt;TODAY(),IF(E80=0,"Not started","Complete"),IF(C80&lt;=TODAY(),"In progress","Upcoming"))</f>
        <v>Upcoming</v>
      </c>
    </row>
    <row r="81" customFormat="false" ht="15" hidden="false" customHeight="true" outlineLevel="0" collapsed="false">
      <c r="A81" s="112" t="s">
        <v>550</v>
      </c>
      <c r="B81" s="114" t="s">
        <v>551</v>
      </c>
      <c r="C81" s="70" t="n">
        <v>46223</v>
      </c>
      <c r="D81" s="70" t="n">
        <v>46250</v>
      </c>
      <c r="E81" s="123" t="n">
        <f aca="false">COUNTIFS(Log!B5:B404,"Yielding",Log!A5:A404,"&gt;="&amp;C81,Log!A5:A404,"&lt;="&amp;D81)</f>
        <v>0</v>
      </c>
      <c r="F81" s="123" t="n">
        <f aca="false">COUNTIFS(Log!B5:B404,"OI",Log!A5:A404,"&gt;="&amp;C81,Log!A5:A404,"&lt;="&amp;D81)</f>
        <v>0</v>
      </c>
      <c r="G81" s="124" t="str">
        <f aca="false">IFERROR(AVERAGEIFS(Log!F5:F404,Log!B5:B404,"Yielding",Log!A5:A404,"&gt;="&amp;C81,Log!A5:A404,"&lt;="&amp;D81,Log!F5:F404,"&gt;0"),"")</f>
        <v/>
      </c>
      <c r="H81" s="124" t="n">
        <f aca="false">IFERROR(SUMPRODUCT(MAX((Log!B5:B404="Yielding")*(Log!A5:A404&gt;=C81)*(Log!A5:A404&lt;=D81)*N(Log!M5:M404))),"")</f>
        <v>0</v>
      </c>
      <c r="I81" s="125" t="str">
        <f aca="false">IFERROR(AVERAGEIFS(Log!J5:J404,Log!A5:A404,"&gt;="&amp;C81,Log!A5:A404,"&lt;="&amp;D81,Log!J5:J404,"&gt;0"),"")</f>
        <v/>
      </c>
      <c r="J81" s="127" t="str">
        <f aca="true">IF(D81&lt;TODAY(),IF(E81=0,"Not started","Complete"),IF(C81&lt;=TODAY(),"In progress","Upcoming"))</f>
        <v>Upcoming</v>
      </c>
    </row>
    <row r="82" customFormat="false" ht="15" hidden="false" customHeight="true" outlineLevel="0" collapsed="false">
      <c r="A82" s="112" t="s">
        <v>552</v>
      </c>
      <c r="B82" s="114" t="s">
        <v>88</v>
      </c>
      <c r="C82" s="70" t="n">
        <v>46251</v>
      </c>
      <c r="D82" s="70" t="n">
        <v>46257</v>
      </c>
      <c r="E82" s="123" t="n">
        <f aca="false">COUNTIFS(Log!B5:B404,"Yielding",Log!A5:A404,"&gt;="&amp;C82,Log!A5:A404,"&lt;="&amp;D82)</f>
        <v>0</v>
      </c>
      <c r="F82" s="123" t="n">
        <f aca="false">COUNTIFS(Log!B5:B404,"OI",Log!A5:A404,"&gt;="&amp;C82,Log!A5:A404,"&lt;="&amp;D82)</f>
        <v>0</v>
      </c>
      <c r="G82" s="124" t="str">
        <f aca="false">IFERROR(AVERAGEIFS(Log!F5:F404,Log!B5:B404,"Yielding",Log!A5:A404,"&gt;="&amp;C82,Log!A5:A404,"&lt;="&amp;D82,Log!F5:F404,"&gt;0"),"")</f>
        <v/>
      </c>
      <c r="H82" s="124" t="n">
        <f aca="false">IFERROR(SUMPRODUCT(MAX((Log!B5:B404="Yielding")*(Log!A5:A404&gt;=C82)*(Log!A5:A404&lt;=D82)*N(Log!M5:M404))),"")</f>
        <v>0</v>
      </c>
      <c r="I82" s="125" t="str">
        <f aca="false">IFERROR(AVERAGEIFS(Log!J5:J404,Log!A5:A404,"&gt;="&amp;C82,Log!A5:A404,"&lt;="&amp;D82,Log!J5:J404,"&gt;0"),"")</f>
        <v/>
      </c>
      <c r="J82" s="127" t="str">
        <f aca="true">IF(D82&lt;TODAY(),IF(E82=0,"Not started","Complete"),IF(C82&lt;=TODAY(),"In progress","Upcoming"))</f>
        <v>Upcoming</v>
      </c>
    </row>
    <row r="83" customFormat="false" ht="15" hidden="false" customHeight="true" outlineLevel="0" collapsed="false">
      <c r="A83" s="112" t="s">
        <v>168</v>
      </c>
      <c r="B83" s="114" t="s">
        <v>92</v>
      </c>
      <c r="C83" s="70" t="n">
        <v>46258</v>
      </c>
      <c r="D83" s="70" t="n">
        <v>46264</v>
      </c>
      <c r="E83" s="123" t="n">
        <f aca="false">COUNTIFS(Log!B5:B404,"Yielding",Log!A5:A404,"&gt;="&amp;C83,Log!A5:A404,"&lt;="&amp;D83)</f>
        <v>0</v>
      </c>
      <c r="F83" s="123" t="n">
        <f aca="false">COUNTIFS(Log!B5:B404,"OI",Log!A5:A404,"&gt;="&amp;C83,Log!A5:A404,"&lt;="&amp;D83)</f>
        <v>0</v>
      </c>
      <c r="G83" s="124" t="str">
        <f aca="false">IFERROR(AVERAGEIFS(Log!F5:F404,Log!B5:B404,"Yielding",Log!A5:A404,"&gt;="&amp;C83,Log!A5:A404,"&lt;="&amp;D83,Log!F5:F404,"&gt;0"),"")</f>
        <v/>
      </c>
      <c r="H83" s="124" t="n">
        <f aca="false">IFERROR(SUMPRODUCT(MAX((Log!B5:B404="Yielding")*(Log!A5:A404&gt;=C83)*(Log!A5:A404&lt;=D83)*N(Log!M5:M404))),"")</f>
        <v>0</v>
      </c>
      <c r="I83" s="125" t="str">
        <f aca="false">IFERROR(AVERAGEIFS(Log!J5:J404,Log!A5:A404,"&gt;="&amp;C83,Log!A5:A404,"&lt;="&amp;D83,Log!J5:J404,"&gt;0"),"")</f>
        <v/>
      </c>
      <c r="J83" s="127" t="str">
        <f aca="true">IF(D83&lt;TODAY(),IF(E83=0,"Not started","Complete"),IF(C83&lt;=TODAY(),"In progress","Upcoming"))</f>
        <v>Upcoming</v>
      </c>
    </row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2026-05-31T21:13:25Z</dcterms:created>
  <dc:creator>openpyxl</dc:creator>
  <dc:description/>
  <dc:language>en-US</dc:language>
  <cp:lastModifiedBy/>
  <dcterms:modified xsi:type="dcterms:W3CDTF">2026-06-01T22:31:01Z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